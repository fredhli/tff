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proj_2026\free_float\jpff\"/>
    </mc:Choice>
  </mc:AlternateContent>
  <xr:revisionPtr revIDLastSave="0" documentId="13_ncr:1_{57542EC6-3C44-4A3D-8AF8-8C31D6E3B0BB}" xr6:coauthVersionLast="47" xr6:coauthVersionMax="47" xr10:uidLastSave="{00000000-0000-0000-0000-000000000000}"/>
  <bookViews>
    <workbookView xWindow="-108" yWindow="-108" windowWidth="41496" windowHeight="16776" xr2:uid="{2ADF587C-1DDC-49D7-B480-BDC8690D8EE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" i="2" l="1" a="1"/>
  <c r="K5" i="2" s="1"/>
  <c r="K6" i="2" a="1"/>
  <c r="K6" i="2" s="1"/>
  <c r="K7" i="2" a="1"/>
  <c r="K7" i="2" s="1"/>
  <c r="K8" i="2" a="1"/>
  <c r="K8" i="2" s="1"/>
  <c r="K9" i="2" a="1"/>
  <c r="K9" i="2" s="1"/>
  <c r="K10" i="2" a="1"/>
  <c r="K10" i="2" s="1"/>
  <c r="K12" i="2" a="1"/>
  <c r="K12" i="2" s="1"/>
  <c r="K13" i="2" a="1"/>
  <c r="K13" i="2" s="1"/>
  <c r="K15" i="2" a="1"/>
  <c r="K15" i="2" s="1"/>
  <c r="K16" i="2" a="1"/>
  <c r="K16" i="2" s="1"/>
  <c r="K17" i="2" a="1"/>
  <c r="K17" i="2" s="1"/>
  <c r="K18" i="2" a="1"/>
  <c r="K18" i="2" s="1"/>
  <c r="K19" i="2" a="1"/>
  <c r="K19" i="2" s="1"/>
  <c r="K20" i="2" a="1"/>
  <c r="K20" i="2" s="1"/>
  <c r="K21" i="2" a="1"/>
  <c r="K21" i="2" s="1"/>
  <c r="K22" i="2" a="1"/>
  <c r="K22" i="2" s="1"/>
  <c r="K23" i="2" a="1"/>
  <c r="K23" i="2" s="1"/>
  <c r="K25" i="2" a="1"/>
  <c r="K25" i="2" s="1"/>
  <c r="K26" i="2" a="1"/>
  <c r="K26" i="2" s="1"/>
  <c r="K27" i="2" a="1"/>
  <c r="K27" i="2" s="1"/>
  <c r="K28" i="2" a="1"/>
  <c r="K28" i="2" s="1"/>
  <c r="K29" i="2" a="1"/>
  <c r="K29" i="2" s="1"/>
  <c r="K30" i="2" a="1"/>
  <c r="K30" i="2" s="1"/>
  <c r="K31" i="2" a="1"/>
  <c r="K31" i="2" s="1"/>
  <c r="K32" i="2" a="1"/>
  <c r="K32" i="2" s="1"/>
  <c r="K33" i="2" a="1"/>
  <c r="K33" i="2" s="1"/>
  <c r="K34" i="2" a="1"/>
  <c r="K34" i="2" s="1"/>
  <c r="K35" i="2" a="1"/>
  <c r="K35" i="2" s="1"/>
  <c r="K36" i="2" a="1"/>
  <c r="K36" i="2" s="1"/>
  <c r="K37" i="2" a="1"/>
  <c r="K37" i="2" s="1"/>
  <c r="K38" i="2" a="1"/>
  <c r="K38" i="2" s="1"/>
  <c r="K39" i="2" a="1"/>
  <c r="K39" i="2" s="1"/>
  <c r="K41" i="2" a="1"/>
  <c r="K41" i="2" s="1"/>
  <c r="K42" i="2" a="1"/>
  <c r="K42" i="2" s="1"/>
  <c r="K43" i="2" a="1"/>
  <c r="K43" i="2" s="1"/>
  <c r="K44" i="2" a="1"/>
  <c r="K44" i="2" s="1"/>
  <c r="K45" i="2" a="1"/>
  <c r="K45" i="2" s="1"/>
  <c r="K46" i="2" a="1"/>
  <c r="K46" i="2" s="1"/>
  <c r="K47" i="2" a="1"/>
  <c r="K47" i="2" s="1"/>
  <c r="K48" i="2" a="1"/>
  <c r="K48" i="2" s="1"/>
  <c r="K49" i="2" a="1"/>
  <c r="K49" i="2" s="1"/>
  <c r="K50" i="2" a="1"/>
  <c r="K50" i="2" s="1"/>
  <c r="K2" i="2" a="1"/>
  <c r="K2" i="2" s="1"/>
  <c r="G3" i="2"/>
  <c r="H3" i="2"/>
  <c r="G4" i="2"/>
  <c r="H4" i="2"/>
  <c r="G5" i="2"/>
  <c r="H5" i="2"/>
  <c r="G6" i="2"/>
  <c r="H6" i="2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H2" i="2"/>
  <c r="G2" i="2"/>
  <c r="E3" i="2"/>
  <c r="F3" i="2"/>
  <c r="E4" i="2"/>
  <c r="F4" i="2"/>
  <c r="E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3" i="2"/>
  <c r="F33" i="2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F40" i="2"/>
  <c r="E41" i="2"/>
  <c r="F41" i="2"/>
  <c r="E42" i="2"/>
  <c r="F42" i="2"/>
  <c r="E43" i="2"/>
  <c r="F43" i="2"/>
  <c r="E44" i="2"/>
  <c r="F44" i="2"/>
  <c r="E45" i="2"/>
  <c r="F45" i="2"/>
  <c r="E46" i="2"/>
  <c r="F46" i="2"/>
  <c r="F2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<sst xmlns="http://schemas.openxmlformats.org/spreadsheetml/2006/main" count="1077" uniqueCount="326">
  <si>
    <t>Name</t>
  </si>
  <si>
    <t>ISIN</t>
  </si>
  <si>
    <t>Annual securities report</t>
  </si>
  <si>
    <t>Quarterly securities report</t>
  </si>
  <si>
    <t>Report of Possession of Large Volume</t>
  </si>
  <si>
    <t>Share Buyback Report</t>
  </si>
  <si>
    <t>Responsible</t>
  </si>
  <si>
    <t>Code</t>
  </si>
  <si>
    <t>EDINET</t>
  </si>
  <si>
    <t>JPX</t>
  </si>
  <si>
    <t xml:space="preserve">Status </t>
  </si>
  <si>
    <t>Remarks</t>
  </si>
  <si>
    <t>Last researched date</t>
  </si>
  <si>
    <t>Share Change? (Y/N)</t>
  </si>
  <si>
    <t>FF Change? (Y/N)</t>
  </si>
  <si>
    <t>RIC</t>
  </si>
  <si>
    <t>Issued Share (SII)</t>
  </si>
  <si>
    <t>Data image for Issued share</t>
  </si>
  <si>
    <t xml:space="preserve"> Treasury share (TS)</t>
  </si>
  <si>
    <t>Data image for Treasury share</t>
  </si>
  <si>
    <t>TR Treasury shares</t>
  </si>
  <si>
    <t>Treasury Shares%</t>
  </si>
  <si>
    <t>4D Shares</t>
  </si>
  <si>
    <t>4D FF</t>
  </si>
  <si>
    <t>Treasury blocked</t>
  </si>
  <si>
    <t>Treasury changed</t>
  </si>
  <si>
    <t>Issue shares changed</t>
  </si>
  <si>
    <t>FF changed</t>
  </si>
  <si>
    <t>RT image (SII &amp; TS) changed</t>
  </si>
  <si>
    <t>New RT dates (SII | TS)</t>
  </si>
  <si>
    <t>Last Check</t>
  </si>
  <si>
    <t>JPX Report Date</t>
  </si>
  <si>
    <t>Expected JPX Report Date</t>
  </si>
  <si>
    <t>Python Web Report (JPX)</t>
  </si>
  <si>
    <t>Python Web Report (EDINET)</t>
  </si>
  <si>
    <t>4D_share (Tracking)</t>
  </si>
  <si>
    <t>4D_FF (Tracking)</t>
  </si>
  <si>
    <t>Tracking vs RT
(Share)</t>
  </si>
  <si>
    <t>Tracking vs RT
(FF)</t>
  </si>
  <si>
    <t>Check1 - share</t>
  </si>
  <si>
    <t>Check2- FF</t>
  </si>
  <si>
    <t>Gunma Bank Ltd.</t>
  </si>
  <si>
    <t>JP3276400003</t>
  </si>
  <si>
    <t>Fred</t>
  </si>
  <si>
    <t>8334</t>
  </si>
  <si>
    <t>https://disclosure2.edinet-fsa.go.jp/WEEK0020.aspx</t>
  </si>
  <si>
    <t>https://www2.jpx.co.jp/tseHpFront/StockSearch.do?callJorEFlg=1&amp;method=&amp;topSearchStr=8334</t>
  </si>
  <si>
    <t>WIP</t>
  </si>
  <si>
    <t>8334.T</t>
  </si>
  <si>
    <t/>
  </si>
  <si>
    <t>RT - Unchanged</t>
  </si>
  <si>
    <t>31-Dec-2025 | 31-Dec-2025</t>
  </si>
  <si>
    <t>Japan Real Estate Investment C</t>
  </si>
  <si>
    <t>JP3027680002</t>
  </si>
  <si>
    <t>8952</t>
  </si>
  <si>
    <t>https://www2.jpx.co.jp/tseHpFront/StockSearch.do?callJorEFlg=1&amp;method=&amp;topSearchStr=8952</t>
  </si>
  <si>
    <t>8952.T</t>
  </si>
  <si>
    <t>Y</t>
  </si>
  <si>
    <t>24-Apr-2026 | 30-Sep-2025</t>
  </si>
  <si>
    <t>NULL</t>
  </si>
  <si>
    <t>Nippon Building Fund Inc.</t>
  </si>
  <si>
    <t>JP3027670003</t>
  </si>
  <si>
    <t>8951</t>
  </si>
  <si>
    <t>https://www2.jpx.co.jp/tseHpFront/StockSearch.do?callJorEFlg=1&amp;method=&amp;topSearchStr=8951</t>
  </si>
  <si>
    <t>8951.T</t>
  </si>
  <si>
    <t>26-Jan-2026 | 31-Dec-2025</t>
  </si>
  <si>
    <t>Nomura Research Institute Ltd.</t>
  </si>
  <si>
    <t>JP3762800005</t>
  </si>
  <si>
    <t>4307</t>
  </si>
  <si>
    <t>https://www2.jpx.co.jp/tseHpFront/StockSearch.do?callJorEFlg=1&amp;method=&amp;topSearchStr=4307</t>
  </si>
  <si>
    <t>4307.T</t>
  </si>
  <si>
    <t>31-Mar-2026 | 31-Mar-2026</t>
  </si>
  <si>
    <t>Glory Ltd.</t>
  </si>
  <si>
    <t>JP3274400005</t>
  </si>
  <si>
    <t>6457</t>
  </si>
  <si>
    <t>https://www2.jpx.co.jp/tseHpFront/StockSearch.do?callJorEFlg=1&amp;method=&amp;topSearchStr=6457</t>
  </si>
  <si>
    <t>6457.T</t>
  </si>
  <si>
    <t>31-Dec-2025 | 30-Apr-2026</t>
  </si>
  <si>
    <t>MCDONALD'S HOLDINGS</t>
  </si>
  <si>
    <t>JP3750500005</t>
  </si>
  <si>
    <t>2702</t>
  </si>
  <si>
    <t>https://www2.jpx.co.jp/tseHpFront/StockSearch.do?callJorEFlg=1&amp;method=&amp;topSearchStr=2702</t>
  </si>
  <si>
    <t>2702.T</t>
  </si>
  <si>
    <t>Furukawa Electric Co. Ltd.</t>
  </si>
  <si>
    <t>JP3827200001</t>
  </si>
  <si>
    <t>5801</t>
  </si>
  <si>
    <t>https://www2.jpx.co.jp/tseHpFront/StockSearch.do?callJorEFlg=1&amp;method=&amp;topSearchStr=5801</t>
  </si>
  <si>
    <t>5801.T</t>
  </si>
  <si>
    <t>FUKUDA DENSHI</t>
  </si>
  <si>
    <t>JP3806000000</t>
  </si>
  <si>
    <t>6960</t>
  </si>
  <si>
    <t>https://www2.jpx.co.jp/tseHpFront/StockSearch.do?callJorEFlg=1&amp;method=&amp;topSearchStr=6960</t>
  </si>
  <si>
    <t>6960.T</t>
  </si>
  <si>
    <t>31-Dec-2025 | 19-Mar-2026</t>
  </si>
  <si>
    <t>Fujitsu Ltd.</t>
  </si>
  <si>
    <t>JP3818000006</t>
  </si>
  <si>
    <t>6702</t>
  </si>
  <si>
    <t>https://www2.jpx.co.jp/tseHpFront/StockSearch.do?callJorEFlg=1&amp;method=&amp;topSearchStr=6702</t>
  </si>
  <si>
    <t>6702.T</t>
  </si>
  <si>
    <t>Fanuc Ltd.</t>
  </si>
  <si>
    <t>JP3802400006</t>
  </si>
  <si>
    <t>6954</t>
  </si>
  <si>
    <t>https://www2.jpx.co.jp/tseHpFront/StockSearch.do?callJorEFlg=1&amp;method=&amp;topSearchStr=6954</t>
  </si>
  <si>
    <t>6954.T</t>
  </si>
  <si>
    <t>29-May-2026 | 29-May-2026</t>
  </si>
  <si>
    <t>FUJI OIL</t>
  </si>
  <si>
    <t>JP3816400000</t>
  </si>
  <si>
    <t>2607</t>
  </si>
  <si>
    <t>https://www2.jpx.co.jp/tseHpFront/StockSearch.do?callJorEFlg=1&amp;method=&amp;topSearchStr=2607</t>
  </si>
  <si>
    <t>2607.T</t>
  </si>
  <si>
    <t>Fujikura Ltd.</t>
  </si>
  <si>
    <t>JP3811000003</t>
  </si>
  <si>
    <t>5803</t>
  </si>
  <si>
    <t>https://www2.jpx.co.jp/tseHpFront/StockSearch.do?callJorEFlg=1&amp;method=&amp;topSearchStr=5803</t>
  </si>
  <si>
    <t>5803.T</t>
  </si>
  <si>
    <t>30-Mar-2026 | 30-Mar-2026</t>
  </si>
  <si>
    <t>H.U. GROUP HOLDINGS INC.</t>
  </si>
  <si>
    <t>JP3822000000</t>
  </si>
  <si>
    <t>4544</t>
  </si>
  <si>
    <t>https://www2.jpx.co.jp/tseHpFront/StockSearch.do?callJorEFlg=1&amp;method=&amp;topSearchStr=4544</t>
  </si>
  <si>
    <t>4544.T</t>
  </si>
  <si>
    <t>31-Mar-2026 | 31-Dec-2025</t>
  </si>
  <si>
    <t>FUJI</t>
  </si>
  <si>
    <t>JP3809200003</t>
  </si>
  <si>
    <t>6134</t>
  </si>
  <si>
    <t>https://www2.jpx.co.jp/tseHpFront/StockSearch.do?callJorEFlg=1&amp;method=&amp;topSearchStr=6134</t>
  </si>
  <si>
    <t>6134.T</t>
  </si>
  <si>
    <t>FUJIFILM Holdings Corp.</t>
  </si>
  <si>
    <t>JP3814000000</t>
  </si>
  <si>
    <t>4901</t>
  </si>
  <si>
    <t>https://www2.jpx.co.jp/tseHpFront/StockSearch.do?callJorEFlg=1&amp;method=&amp;topSearchStr=4901</t>
  </si>
  <si>
    <t>4901.T</t>
  </si>
  <si>
    <t>SUBARU CORPORATION</t>
  </si>
  <si>
    <t>JP3814800003</t>
  </si>
  <si>
    <t>7270</t>
  </si>
  <si>
    <t>https://www2.jpx.co.jp/tseHpFront/StockSearch.do?callJorEFlg=1&amp;method=&amp;topSearchStr=7270</t>
  </si>
  <si>
    <t>7270.T</t>
  </si>
  <si>
    <t>20-Jan-2026 | 20-Jan-2026</t>
  </si>
  <si>
    <t>FUJI ELECTRIC</t>
  </si>
  <si>
    <t>JP3820000002</t>
  </si>
  <si>
    <t>6504</t>
  </si>
  <si>
    <t>https://www2.jpx.co.jp/tseHpFront/StockSearch.do?callJorEFlg=1&amp;method=&amp;topSearchStr=6504</t>
  </si>
  <si>
    <t>6504.T</t>
  </si>
  <si>
    <t>NORTH PACIFIC BANK</t>
  </si>
  <si>
    <t>JP3843400007</t>
  </si>
  <si>
    <t>8524</t>
  </si>
  <si>
    <t>https://www2.jpx.co.jp/tseHpFront/StockSearch.do?callJorEFlg=1&amp;method=&amp;topSearchStr=8524</t>
  </si>
  <si>
    <t>8524.T</t>
  </si>
  <si>
    <t>31-Dec-2025 | 10-Mar-2026</t>
  </si>
  <si>
    <t>Fast Retailing Co. Ltd.</t>
  </si>
  <si>
    <t>JP3802300008</t>
  </si>
  <si>
    <t>9983</t>
  </si>
  <si>
    <t>https://www2.jpx.co.jp/tseHpFront/StockSearch.do?callJorEFlg=1&amp;method=&amp;topSearchStr=9983</t>
  </si>
  <si>
    <t>9983.T</t>
  </si>
  <si>
    <t>28-Feb-2026 | 28-Feb-2026</t>
  </si>
  <si>
    <t>LINTEC</t>
  </si>
  <si>
    <t>JP3977200009</t>
  </si>
  <si>
    <t>7966</t>
  </si>
  <si>
    <t>https://www2.jpx.co.jp/tseHpFront/StockSearch.do?callJorEFlg=1&amp;method=&amp;topSearchStr=7966</t>
  </si>
  <si>
    <t>7966.T</t>
  </si>
  <si>
    <t>31-Dec-2025 | 11-May-2026</t>
  </si>
  <si>
    <t>Ezaki Glico Co. Ltd.</t>
  </si>
  <si>
    <t>JP3161200005</t>
  </si>
  <si>
    <t>2206</t>
  </si>
  <si>
    <t>https://www2.jpx.co.jp/tseHpFront/StockSearch.do?callJorEFlg=1&amp;method=&amp;topSearchStr=2206</t>
  </si>
  <si>
    <t>2206.T</t>
  </si>
  <si>
    <t>31-Dec-2025 | 31-Mar-2026</t>
  </si>
  <si>
    <t>Denka Co Ltd</t>
  </si>
  <si>
    <t>JP3549600009</t>
  </si>
  <si>
    <t>4061</t>
  </si>
  <si>
    <t>https://www2.jpx.co.jp/tseHpFront/StockSearch.do?callJorEFlg=1&amp;method=&amp;topSearchStr=4061</t>
  </si>
  <si>
    <t>4061.T</t>
  </si>
  <si>
    <t>SBI Holdings Inc.</t>
  </si>
  <si>
    <t>JP3436120004</t>
  </si>
  <si>
    <t>8473</t>
  </si>
  <si>
    <t>https://www2.jpx.co.jp/tseHpFront/StockSearch.do?callJorEFlg=1&amp;method=&amp;topSearchStr=8473</t>
  </si>
  <si>
    <t>8473.T</t>
  </si>
  <si>
    <t>OK</t>
  </si>
  <si>
    <t>Square Enix Holdings Co. Ltd.</t>
  </si>
  <si>
    <t>JP3164630000</t>
  </si>
  <si>
    <t>9684</t>
  </si>
  <si>
    <t>https://www2.jpx.co.jp/tseHpFront/StockSearch.do?callJorEFlg=1&amp;method=&amp;topSearchStr=9684</t>
  </si>
  <si>
    <t>9684.T</t>
  </si>
  <si>
    <t>Eisai Co. Ltd.</t>
  </si>
  <si>
    <t>JP3160400002</t>
  </si>
  <si>
    <t>4523</t>
  </si>
  <si>
    <t>https://www2.jpx.co.jp/tseHpFront/StockSearch.do?callJorEFlg=1&amp;method=&amp;topSearchStr=4523</t>
  </si>
  <si>
    <t>4523.T</t>
  </si>
  <si>
    <t>Ebara Corp.</t>
  </si>
  <si>
    <t>JP3166000004</t>
  </si>
  <si>
    <t>6361</t>
  </si>
  <si>
    <t>https://www2.jpx.co.jp/tseHpFront/StockSearch.do?callJorEFlg=1&amp;method=&amp;topSearchStr=6361</t>
  </si>
  <si>
    <t>6361.T</t>
  </si>
  <si>
    <t>31-Mar-2026 | 13-May-2026</t>
  </si>
  <si>
    <t>East Japan Railway Co.</t>
  </si>
  <si>
    <t>JP3783600004</t>
  </si>
  <si>
    <t>9020</t>
  </si>
  <si>
    <t>https://www2.jpx.co.jp/tseHpFront/StockSearch.do?callJorEFlg=1&amp;method=&amp;topSearchStr=9020</t>
  </si>
  <si>
    <t>9020.T</t>
  </si>
  <si>
    <t>ABC-MART</t>
  </si>
  <si>
    <t>JP3152740001</t>
  </si>
  <si>
    <t>2670</t>
  </si>
  <si>
    <t>https://www2.jpx.co.jp/tseHpFront/StockSearch.do?callJorEFlg=1&amp;method=&amp;topSearchStr=2670</t>
  </si>
  <si>
    <t>2670.T</t>
  </si>
  <si>
    <t>SKY PERFECT JSAT</t>
  </si>
  <si>
    <t>JP3396350005</t>
  </si>
  <si>
    <t>9412</t>
  </si>
  <si>
    <t>https://www2.jpx.co.jp/tseHpFront/StockSearch.do?callJorEFlg=1&amp;method=&amp;topSearchStr=9412</t>
  </si>
  <si>
    <t>9412.T</t>
  </si>
  <si>
    <t>31-Mar-2026 | 03-Aug-2026</t>
  </si>
  <si>
    <t>TV ASAHI</t>
  </si>
  <si>
    <t>JP3429000007</t>
  </si>
  <si>
    <t>9409</t>
  </si>
  <si>
    <t>https://www2.jpx.co.jp/tseHpFront/StockSearch.do?callJorEFlg=1&amp;method=&amp;topSearchStr=9409</t>
  </si>
  <si>
    <t>9409.T</t>
  </si>
  <si>
    <t>DCM HOLDINGS</t>
  </si>
  <si>
    <t>JP3548660004</t>
  </si>
  <si>
    <t>3050</t>
  </si>
  <si>
    <t>https://www2.jpx.co.jp/tseHpFront/StockSearch.do?callJorEFlg=1&amp;method=&amp;topSearchStr=3050</t>
  </si>
  <si>
    <t>3050.T</t>
  </si>
  <si>
    <t>28-Feb-2026 | 30-Apr-2026</t>
  </si>
  <si>
    <t>Dowa Holdings Co. Ltd.</t>
  </si>
  <si>
    <t>JP3638600001</t>
  </si>
  <si>
    <t>5714</t>
  </si>
  <si>
    <t>https://www2.jpx.co.jp/tseHpFront/StockSearch.do?callJorEFlg=1&amp;method=&amp;topSearchStr=5714</t>
  </si>
  <si>
    <t>5714.T</t>
  </si>
  <si>
    <t>31-Dec-2025 | 12-Feb-2026</t>
  </si>
  <si>
    <t>NAKANISHI</t>
  </si>
  <si>
    <t>JP3642500007</t>
  </si>
  <si>
    <t>7716</t>
  </si>
  <si>
    <t>https://www2.jpx.co.jp/tseHpFront/StockSearch.do?callJorEFlg=1&amp;method=&amp;topSearchStr=7716</t>
  </si>
  <si>
    <t>7716.T</t>
  </si>
  <si>
    <t>30-Jan-2026 | 27-Apr-2026</t>
  </si>
  <si>
    <t>Disco Corp.</t>
  </si>
  <si>
    <t>JP3548600000</t>
  </si>
  <si>
    <t>6146</t>
  </si>
  <si>
    <t>https://www2.jpx.co.jp/tseHpFront/StockSearch.do?callJorEFlg=1&amp;method=&amp;topSearchStr=6146</t>
  </si>
  <si>
    <t>6146.T</t>
  </si>
  <si>
    <t>PAN PACIFIC INTL HLDG</t>
  </si>
  <si>
    <t>JP3639650005</t>
  </si>
  <si>
    <t>7532</t>
  </si>
  <si>
    <t>https://www2.jpx.co.jp/tseHpFront/StockSearch.do?callJorEFlg=1&amp;method=&amp;topSearchStr=7532</t>
  </si>
  <si>
    <t>7532.T</t>
  </si>
  <si>
    <t>31-Dec-2025 | 01-Jul-2026</t>
  </si>
  <si>
    <t>MITSUBISHI HC CAPITAL</t>
  </si>
  <si>
    <t>JP3499800005</t>
  </si>
  <si>
    <t>8593</t>
  </si>
  <si>
    <t>https://www2.jpx.co.jp/tseHpFront/StockSearch.do?callJorEFlg=1&amp;method=&amp;topSearchStr=8593</t>
  </si>
  <si>
    <t>8593.T</t>
  </si>
  <si>
    <t>Otsuka Corp.</t>
  </si>
  <si>
    <t>JP3188200004</t>
  </si>
  <si>
    <t>4768</t>
  </si>
  <si>
    <t>https://www2.jpx.co.jp/tseHpFront/StockSearch.do?callJorEFlg=1&amp;method=&amp;topSearchStr=4768</t>
  </si>
  <si>
    <t>4768.T</t>
  </si>
  <si>
    <t>DAISEKI</t>
  </si>
  <si>
    <t>JP3485600005</t>
  </si>
  <si>
    <t>9793</t>
  </si>
  <si>
    <t>https://www2.jpx.co.jp/tseHpFront/StockSearch.do?callJorEFlg=1&amp;method=&amp;topSearchStr=9793</t>
  </si>
  <si>
    <t>9793.T</t>
  </si>
  <si>
    <t>SUGI HOLDINGS</t>
  </si>
  <si>
    <t>JP3397060009</t>
  </si>
  <si>
    <t>7649</t>
  </si>
  <si>
    <t>https://www2.jpx.co.jp/tseHpFront/StockSearch.do?callJorEFlg=1&amp;method=&amp;topSearchStr=7649</t>
  </si>
  <si>
    <t>7649.T</t>
  </si>
  <si>
    <t>28-Aug-2026 | 28-Aug-2026</t>
  </si>
  <si>
    <t>DTS</t>
  </si>
  <si>
    <t>JP3548500002</t>
  </si>
  <si>
    <t>9682</t>
  </si>
  <si>
    <t>https://www2.jpx.co.jp/tseHpFront/StockSearch.do?callJorEFlg=1&amp;method=&amp;topSearchStr=9682</t>
  </si>
  <si>
    <t>9682.T</t>
  </si>
  <si>
    <t>Daiwa Securities Group Inc.</t>
  </si>
  <si>
    <t>JP3502200003</t>
  </si>
  <si>
    <t>8601</t>
  </si>
  <si>
    <t>https://www2.jpx.co.jp/tseHpFront/StockSearch.do?callJorEFlg=1&amp;method=&amp;topSearchStr=8601</t>
  </si>
  <si>
    <t>8601.T</t>
  </si>
  <si>
    <t>DAIWABO HOLDINGS</t>
  </si>
  <si>
    <t>JP3505400006</t>
  </si>
  <si>
    <t>3107</t>
  </si>
  <si>
    <t>https://www2.jpx.co.jp/tseHpFront/StockSearch.do?callJorEFlg=1&amp;method=&amp;topSearchStr=3107</t>
  </si>
  <si>
    <t>3107.T</t>
  </si>
  <si>
    <t>31-Dec-2025 | 27-Feb-2026</t>
  </si>
  <si>
    <t>Daiwa House Industry Co. Ltd.</t>
  </si>
  <si>
    <t>JP3505000004</t>
  </si>
  <si>
    <t>1925</t>
  </si>
  <si>
    <t>https://www2.jpx.co.jp/tseHpFront/StockSearch.do?callJorEFlg=1&amp;method=&amp;topSearchStr=1925</t>
  </si>
  <si>
    <t>1925.T</t>
  </si>
  <si>
    <t>Resona Holdings Inc.</t>
  </si>
  <si>
    <t>JP3500610005</t>
  </si>
  <si>
    <t>8308</t>
  </si>
  <si>
    <t>https://www2.jpx.co.jp/tseHpFront/StockSearch.do?callJorEFlg=1&amp;method=&amp;topSearchStr=8308</t>
  </si>
  <si>
    <t>8308.T</t>
  </si>
  <si>
    <t>31-Dec-2025 | 30-Jan-2026</t>
  </si>
  <si>
    <t>Daishi Hokuetsu Financial Grp.</t>
  </si>
  <si>
    <t>JP3483850008</t>
  </si>
  <si>
    <t>7327</t>
  </si>
  <si>
    <t>https://www2.jpx.co.jp/tseHpFront/StockSearch.do?callJorEFlg=1&amp;method=&amp;topSearchStr=7327</t>
  </si>
  <si>
    <t>7327.T</t>
  </si>
  <si>
    <t>SCREEN HOLDINGS</t>
  </si>
  <si>
    <t>JP3494600004</t>
  </si>
  <si>
    <t>7735</t>
  </si>
  <si>
    <t>https://www2.jpx.co.jp/tseHpFront/StockSearch.do?callJorEFlg=1&amp;method=&amp;topSearchStr=7735</t>
  </si>
  <si>
    <t>7735.T</t>
  </si>
  <si>
    <t>Dai Nippon Printing Co. Ltd.</t>
  </si>
  <si>
    <t>JP3493800001</t>
  </si>
  <si>
    <t>7912</t>
  </si>
  <si>
    <t>https://www2.jpx.co.jp/tseHpFront/StockSearch.do?callJorEFlg=1&amp;method=&amp;topSearchStr=7912</t>
  </si>
  <si>
    <t>7912.T</t>
  </si>
  <si>
    <t>26-Mar-2026 | 24-Jul-2026</t>
  </si>
  <si>
    <t>SUMITOMO PHARMA</t>
  </si>
  <si>
    <t>JP3495000006</t>
  </si>
  <si>
    <t>4506</t>
  </si>
  <si>
    <t>https://www2.jpx.co.jp/tseHpFront/StockSearch.do?callJorEFlg=1&amp;method=&amp;topSearchStr=4506</t>
  </si>
  <si>
    <t>4506.T</t>
  </si>
  <si>
    <t>26-May-2026 | 31-Dec-2025</t>
  </si>
  <si>
    <t>DIC Corp.</t>
  </si>
  <si>
    <t>JP3493400000</t>
  </si>
  <si>
    <t>4631</t>
  </si>
  <si>
    <t>https://www2.jpx.co.jp/tseHpFront/StockSearch.do?callJorEFlg=1&amp;method=&amp;topSearchStr=4631</t>
  </si>
  <si>
    <t>4631.T</t>
  </si>
  <si>
    <t>Calculated FF (Approximate)</t>
  </si>
  <si>
    <t>tbd</t>
  </si>
  <si>
    <t>stock_code</t>
  </si>
  <si>
    <t>total_shares</t>
  </si>
  <si>
    <t>big_shareholders_pct</t>
  </si>
  <si>
    <t>Done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</si>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</sst>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E7CD-52DB-4A9C-A7EC-0F44C2EE3509}">
  <dimension ref="A1:AP50"/>
  <sheetViews>
    <sheetView tabSelected="1" workbookViewId="0">
      <selection activeCell="K6" sqref="K6"/>
    </sheetView>
  </sheetViews>
  <sheetFormatPr defaultRowHeight="14.4" x14ac:dyDescent="0.3"/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 x14ac:dyDescent="0.3">
      <c r="A2" t="s">
        <v>41</v>
      </c>
      <c r="B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324</v>
      </c>
      <c r="N2" t="s">
        <v>325</v>
      </c>
      <c r="O2" t="s">
        <v>325</v>
      </c>
      <c r="P2" t="s">
        <v>48</v>
      </c>
      <c r="Q2">
        <v>395888177</v>
      </c>
      <c r="R2">
        <v>46022</v>
      </c>
      <c r="S2">
        <v>17387774</v>
      </c>
      <c r="T2">
        <v>46022</v>
      </c>
      <c r="U2">
        <v>1</v>
      </c>
      <c r="V2">
        <v>17387774</v>
      </c>
      <c r="W2">
        <v>4.3900000000000002E-2</v>
      </c>
      <c r="X2">
        <v>395888177</v>
      </c>
      <c r="Y2">
        <v>1</v>
      </c>
      <c r="Z2" t="s">
        <v>49</v>
      </c>
      <c r="AA2" t="s">
        <v>49</v>
      </c>
      <c r="AB2" t="s">
        <v>49</v>
      </c>
      <c r="AC2" t="s">
        <v>49</v>
      </c>
      <c r="AD2" t="s">
        <v>50</v>
      </c>
      <c r="AE2" t="s">
        <v>51</v>
      </c>
      <c r="AF2" t="s">
        <v>51</v>
      </c>
      <c r="AG2">
        <v>46056.148611111108</v>
      </c>
      <c r="AH2">
        <v>46153</v>
      </c>
      <c r="AI2" t="s">
        <v>49</v>
      </c>
      <c r="AJ2" t="s">
        <v>49</v>
      </c>
      <c r="AK2">
        <v>395888177</v>
      </c>
      <c r="AL2">
        <v>1</v>
      </c>
      <c r="AM2">
        <v>0</v>
      </c>
      <c r="AN2">
        <v>0</v>
      </c>
    </row>
    <row r="3" spans="1:42" x14ac:dyDescent="0.3">
      <c r="A3" t="s">
        <v>52</v>
      </c>
      <c r="B3" t="s">
        <v>53</v>
      </c>
      <c r="G3" t="s">
        <v>43</v>
      </c>
      <c r="H3" t="s">
        <v>54</v>
      </c>
      <c r="I3" t="s">
        <v>45</v>
      </c>
      <c r="J3" t="s">
        <v>55</v>
      </c>
      <c r="K3" t="s">
        <v>47</v>
      </c>
      <c r="P3" t="s">
        <v>56</v>
      </c>
      <c r="Q3">
        <v>7283580</v>
      </c>
      <c r="R3">
        <v>46136</v>
      </c>
      <c r="S3">
        <v>0</v>
      </c>
      <c r="T3">
        <v>45930</v>
      </c>
      <c r="U3">
        <v>0.95</v>
      </c>
      <c r="V3">
        <v>0</v>
      </c>
      <c r="W3">
        <v>0</v>
      </c>
      <c r="X3">
        <v>7114320</v>
      </c>
      <c r="Y3">
        <v>1</v>
      </c>
      <c r="Z3" t="s">
        <v>49</v>
      </c>
      <c r="AA3" t="s">
        <v>49</v>
      </c>
      <c r="AB3" t="s">
        <v>57</v>
      </c>
      <c r="AC3" t="s">
        <v>57</v>
      </c>
      <c r="AD3" t="s">
        <v>50</v>
      </c>
      <c r="AE3" t="s">
        <v>58</v>
      </c>
      <c r="AF3" t="s">
        <v>58</v>
      </c>
      <c r="AG3" t="s">
        <v>59</v>
      </c>
      <c r="AH3">
        <v>46160</v>
      </c>
      <c r="AI3" t="s">
        <v>49</v>
      </c>
      <c r="AJ3" t="s">
        <v>49</v>
      </c>
      <c r="AK3">
        <v>7114320</v>
      </c>
      <c r="AL3">
        <v>1</v>
      </c>
      <c r="AM3">
        <v>2.3238572240574004E-2</v>
      </c>
      <c r="AN3">
        <v>5.2631578947368474E-2</v>
      </c>
    </row>
    <row r="4" spans="1:42" x14ac:dyDescent="0.3">
      <c r="A4" t="s">
        <v>60</v>
      </c>
      <c r="B4" t="s">
        <v>61</v>
      </c>
      <c r="G4" t="s">
        <v>43</v>
      </c>
      <c r="H4" t="s">
        <v>62</v>
      </c>
      <c r="I4" t="s">
        <v>45</v>
      </c>
      <c r="J4" t="s">
        <v>63</v>
      </c>
      <c r="K4" t="s">
        <v>47</v>
      </c>
      <c r="P4" t="s">
        <v>64</v>
      </c>
      <c r="Q4">
        <v>8815000</v>
      </c>
      <c r="R4">
        <v>46048</v>
      </c>
      <c r="S4">
        <v>0</v>
      </c>
      <c r="T4">
        <v>46022</v>
      </c>
      <c r="U4">
        <v>1</v>
      </c>
      <c r="V4">
        <v>0</v>
      </c>
      <c r="W4">
        <v>0</v>
      </c>
      <c r="X4">
        <v>8815000</v>
      </c>
      <c r="Y4">
        <v>1</v>
      </c>
      <c r="Z4" t="s">
        <v>49</v>
      </c>
      <c r="AA4" t="s">
        <v>49</v>
      </c>
      <c r="AB4" t="s">
        <v>49</v>
      </c>
      <c r="AC4" t="s">
        <v>49</v>
      </c>
      <c r="AD4" t="s">
        <v>50</v>
      </c>
      <c r="AE4" t="s">
        <v>65</v>
      </c>
      <c r="AF4" t="s">
        <v>65</v>
      </c>
      <c r="AG4" t="s">
        <v>59</v>
      </c>
      <c r="AH4">
        <v>46251</v>
      </c>
      <c r="AI4" t="s">
        <v>49</v>
      </c>
      <c r="AJ4" t="s">
        <v>49</v>
      </c>
      <c r="AK4">
        <v>8815000</v>
      </c>
      <c r="AL4">
        <v>1</v>
      </c>
      <c r="AM4">
        <v>0</v>
      </c>
      <c r="AN4">
        <v>0</v>
      </c>
    </row>
    <row r="5" spans="1:42" x14ac:dyDescent="0.3">
      <c r="A5" t="s">
        <v>66</v>
      </c>
      <c r="B5" t="s">
        <v>67</v>
      </c>
      <c r="G5" t="s">
        <v>43</v>
      </c>
      <c r="H5" t="s">
        <v>68</v>
      </c>
      <c r="I5" t="s">
        <v>45</v>
      </c>
      <c r="J5" t="s">
        <v>69</v>
      </c>
      <c r="K5" t="s">
        <v>324</v>
      </c>
      <c r="N5" t="s">
        <v>325</v>
      </c>
      <c r="O5" t="s">
        <v>325</v>
      </c>
      <c r="P5" t="s">
        <v>70</v>
      </c>
      <c r="Q5">
        <v>581241511</v>
      </c>
      <c r="R5">
        <v>46112</v>
      </c>
      <c r="S5">
        <v>6837002</v>
      </c>
      <c r="T5">
        <v>46112</v>
      </c>
      <c r="U5">
        <v>0.80089999999999995</v>
      </c>
      <c r="V5">
        <v>6837002</v>
      </c>
      <c r="W5">
        <v>1.18E-2</v>
      </c>
      <c r="X5">
        <v>581241511</v>
      </c>
      <c r="Y5">
        <v>0.80089999999999995</v>
      </c>
      <c r="Z5" t="s">
        <v>49</v>
      </c>
      <c r="AA5" t="s">
        <v>49</v>
      </c>
      <c r="AB5" t="s">
        <v>49</v>
      </c>
      <c r="AC5" t="s">
        <v>49</v>
      </c>
      <c r="AD5" t="s">
        <v>50</v>
      </c>
      <c r="AE5" t="s">
        <v>71</v>
      </c>
      <c r="AF5" t="s">
        <v>71</v>
      </c>
      <c r="AG5">
        <v>46136.5</v>
      </c>
      <c r="AH5">
        <v>46230</v>
      </c>
      <c r="AI5" t="s">
        <v>49</v>
      </c>
      <c r="AJ5" t="s">
        <v>49</v>
      </c>
      <c r="AK5">
        <v>581241511</v>
      </c>
      <c r="AL5">
        <v>0.80089999999999995</v>
      </c>
      <c r="AM5">
        <v>0</v>
      </c>
      <c r="AN5">
        <v>0</v>
      </c>
    </row>
    <row r="6" spans="1:42" x14ac:dyDescent="0.3">
      <c r="A6" t="s">
        <v>72</v>
      </c>
      <c r="B6" t="s">
        <v>73</v>
      </c>
      <c r="G6" t="s">
        <v>43</v>
      </c>
      <c r="H6" t="s">
        <v>74</v>
      </c>
      <c r="I6" t="s">
        <v>45</v>
      </c>
      <c r="J6" t="s">
        <v>75</v>
      </c>
      <c r="K6" t="s">
        <v>324</v>
      </c>
      <c r="N6" t="s">
        <v>325</v>
      </c>
      <c r="O6" t="s">
        <v>57</v>
      </c>
      <c r="P6" t="s">
        <v>76</v>
      </c>
      <c r="Q6">
        <v>58938210</v>
      </c>
      <c r="R6">
        <v>46022</v>
      </c>
      <c r="S6">
        <v>6853250</v>
      </c>
      <c r="T6">
        <v>46142</v>
      </c>
      <c r="U6">
        <v>0.88370000000000004</v>
      </c>
      <c r="V6">
        <v>6548650</v>
      </c>
      <c r="W6">
        <v>0.1111</v>
      </c>
      <c r="X6">
        <v>58938210</v>
      </c>
      <c r="Y6">
        <v>0.89980000000000004</v>
      </c>
      <c r="Z6" t="s">
        <v>57</v>
      </c>
      <c r="AA6" t="s">
        <v>57</v>
      </c>
      <c r="AB6" t="s">
        <v>49</v>
      </c>
      <c r="AC6" t="s">
        <v>57</v>
      </c>
      <c r="AD6" t="s">
        <v>50</v>
      </c>
      <c r="AE6" t="s">
        <v>77</v>
      </c>
      <c r="AF6" t="s">
        <v>77</v>
      </c>
      <c r="AG6">
        <v>46059.503472222219</v>
      </c>
      <c r="AH6">
        <v>46157</v>
      </c>
      <c r="AI6" t="s">
        <v>49</v>
      </c>
      <c r="AJ6" t="s">
        <v>49</v>
      </c>
      <c r="AK6">
        <v>58938210</v>
      </c>
      <c r="AL6">
        <v>0.89980000000000004</v>
      </c>
      <c r="AM6">
        <v>0</v>
      </c>
      <c r="AN6">
        <v>1.8218852551770966E-2</v>
      </c>
    </row>
    <row r="7" spans="1:42" x14ac:dyDescent="0.3">
      <c r="A7" t="s">
        <v>78</v>
      </c>
      <c r="B7" t="s">
        <v>79</v>
      </c>
      <c r="G7" t="s">
        <v>43</v>
      </c>
      <c r="H7" t="s">
        <v>80</v>
      </c>
      <c r="I7" t="s">
        <v>45</v>
      </c>
      <c r="J7" t="s">
        <v>81</v>
      </c>
      <c r="K7" t="s">
        <v>324</v>
      </c>
      <c r="N7" t="s">
        <v>325</v>
      </c>
      <c r="O7" t="s">
        <v>325</v>
      </c>
      <c r="P7" t="s">
        <v>82</v>
      </c>
      <c r="Q7">
        <v>132960000</v>
      </c>
      <c r="R7">
        <v>46022</v>
      </c>
      <c r="S7">
        <v>1231</v>
      </c>
      <c r="T7">
        <v>46022</v>
      </c>
      <c r="U7">
        <v>0.64680000000000004</v>
      </c>
      <c r="V7">
        <v>1231</v>
      </c>
      <c r="W7">
        <v>0</v>
      </c>
      <c r="X7">
        <v>132960000</v>
      </c>
      <c r="Y7">
        <v>0.64680000000000004</v>
      </c>
      <c r="Z7" t="s">
        <v>49</v>
      </c>
      <c r="AA7" t="s">
        <v>49</v>
      </c>
      <c r="AB7" t="s">
        <v>49</v>
      </c>
      <c r="AC7" t="s">
        <v>49</v>
      </c>
      <c r="AD7" t="s">
        <v>50</v>
      </c>
      <c r="AE7" t="s">
        <v>51</v>
      </c>
      <c r="AF7" t="s">
        <v>51</v>
      </c>
      <c r="AG7">
        <v>46059.5</v>
      </c>
      <c r="AH7">
        <v>46154</v>
      </c>
      <c r="AI7" t="s">
        <v>49</v>
      </c>
      <c r="AJ7" t="s">
        <v>49</v>
      </c>
      <c r="AK7">
        <v>132960000</v>
      </c>
      <c r="AL7">
        <v>0.64680000000000004</v>
      </c>
      <c r="AM7">
        <v>0</v>
      </c>
      <c r="AN7">
        <v>0</v>
      </c>
    </row>
    <row r="8" spans="1:42" x14ac:dyDescent="0.3">
      <c r="A8" t="s">
        <v>83</v>
      </c>
      <c r="B8" t="s">
        <v>84</v>
      </c>
      <c r="G8" t="s">
        <v>43</v>
      </c>
      <c r="H8" t="s">
        <v>85</v>
      </c>
      <c r="I8" t="s">
        <v>45</v>
      </c>
      <c r="J8" t="s">
        <v>86</v>
      </c>
      <c r="K8" t="s">
        <v>324</v>
      </c>
      <c r="N8" t="s">
        <v>325</v>
      </c>
      <c r="O8" t="s">
        <v>325</v>
      </c>
      <c r="P8" t="s">
        <v>87</v>
      </c>
      <c r="Q8">
        <v>70666917</v>
      </c>
      <c r="R8">
        <v>46022</v>
      </c>
      <c r="S8">
        <v>316933</v>
      </c>
      <c r="T8">
        <v>46022</v>
      </c>
      <c r="U8">
        <v>1</v>
      </c>
      <c r="V8">
        <v>316933</v>
      </c>
      <c r="W8">
        <v>4.4999999999999997E-3</v>
      </c>
      <c r="X8">
        <v>70666917</v>
      </c>
      <c r="Y8">
        <v>1</v>
      </c>
      <c r="Z8" t="s">
        <v>49</v>
      </c>
      <c r="AA8" t="s">
        <v>49</v>
      </c>
      <c r="AB8" t="s">
        <v>49</v>
      </c>
      <c r="AC8" t="s">
        <v>49</v>
      </c>
      <c r="AD8" t="s">
        <v>50</v>
      </c>
      <c r="AE8" t="s">
        <v>51</v>
      </c>
      <c r="AF8" t="s">
        <v>51</v>
      </c>
      <c r="AG8">
        <v>46062.4375</v>
      </c>
      <c r="AH8">
        <v>46154</v>
      </c>
      <c r="AI8" t="s">
        <v>49</v>
      </c>
      <c r="AJ8" t="s">
        <v>49</v>
      </c>
      <c r="AK8">
        <v>70666917</v>
      </c>
      <c r="AL8">
        <v>1</v>
      </c>
      <c r="AM8">
        <v>0</v>
      </c>
      <c r="AN8">
        <v>0</v>
      </c>
    </row>
    <row r="9" spans="1:42" x14ac:dyDescent="0.3">
      <c r="A9" t="s">
        <v>88</v>
      </c>
      <c r="B9" t="s">
        <v>89</v>
      </c>
      <c r="G9" t="s">
        <v>43</v>
      </c>
      <c r="H9" t="s">
        <v>90</v>
      </c>
      <c r="I9" t="s">
        <v>45</v>
      </c>
      <c r="J9" t="s">
        <v>91</v>
      </c>
      <c r="K9" t="s">
        <v>324</v>
      </c>
      <c r="N9" t="s">
        <v>325</v>
      </c>
      <c r="O9" t="s">
        <v>57</v>
      </c>
      <c r="P9" t="s">
        <v>92</v>
      </c>
      <c r="Q9">
        <v>37747300</v>
      </c>
      <c r="R9">
        <v>46022</v>
      </c>
      <c r="S9">
        <v>10731565</v>
      </c>
      <c r="T9">
        <v>46100</v>
      </c>
      <c r="U9">
        <v>0.56630000000000003</v>
      </c>
      <c r="V9">
        <v>10731565</v>
      </c>
      <c r="W9">
        <v>0.2843</v>
      </c>
      <c r="X9">
        <v>37747300</v>
      </c>
      <c r="Y9">
        <v>0.57389999999999997</v>
      </c>
      <c r="Z9" t="s">
        <v>57</v>
      </c>
      <c r="AA9" t="s">
        <v>49</v>
      </c>
      <c r="AB9" t="s">
        <v>49</v>
      </c>
      <c r="AC9" t="s">
        <v>57</v>
      </c>
      <c r="AD9" t="s">
        <v>50</v>
      </c>
      <c r="AE9" t="s">
        <v>93</v>
      </c>
      <c r="AF9" t="s">
        <v>93</v>
      </c>
      <c r="AG9">
        <v>46048.541666666664</v>
      </c>
      <c r="AH9">
        <v>46157</v>
      </c>
      <c r="AI9" t="s">
        <v>49</v>
      </c>
      <c r="AJ9" t="s">
        <v>49</v>
      </c>
      <c r="AK9">
        <v>37747300</v>
      </c>
      <c r="AL9">
        <v>0.57389999999999997</v>
      </c>
      <c r="AM9">
        <v>0</v>
      </c>
      <c r="AN9">
        <v>1.3420448525516404E-2</v>
      </c>
    </row>
    <row r="10" spans="1:42" x14ac:dyDescent="0.3">
      <c r="A10" t="s">
        <v>94</v>
      </c>
      <c r="B10" t="s">
        <v>95</v>
      </c>
      <c r="G10" t="s">
        <v>43</v>
      </c>
      <c r="H10" t="s">
        <v>96</v>
      </c>
      <c r="I10" t="s">
        <v>45</v>
      </c>
      <c r="J10" t="s">
        <v>97</v>
      </c>
      <c r="K10" t="s">
        <v>324</v>
      </c>
      <c r="N10" t="s">
        <v>325</v>
      </c>
      <c r="O10" t="s">
        <v>57</v>
      </c>
      <c r="P10" t="s">
        <v>98</v>
      </c>
      <c r="Q10">
        <v>1739778265</v>
      </c>
      <c r="R10">
        <v>46112</v>
      </c>
      <c r="S10">
        <v>5000060</v>
      </c>
      <c r="T10">
        <v>46112</v>
      </c>
      <c r="U10">
        <v>1</v>
      </c>
      <c r="V10">
        <v>5000060</v>
      </c>
      <c r="W10">
        <v>2.8999999999999998E-3</v>
      </c>
      <c r="X10">
        <v>2071108450</v>
      </c>
      <c r="Y10">
        <v>0.84350000000000003</v>
      </c>
      <c r="Z10" t="s">
        <v>49</v>
      </c>
      <c r="AA10" t="s">
        <v>49</v>
      </c>
      <c r="AB10" t="s">
        <v>57</v>
      </c>
      <c r="AC10" t="s">
        <v>57</v>
      </c>
      <c r="AD10" t="s">
        <v>50</v>
      </c>
      <c r="AE10" t="s">
        <v>71</v>
      </c>
      <c r="AF10" t="s">
        <v>71</v>
      </c>
      <c r="AG10">
        <v>46140.506249999999</v>
      </c>
      <c r="AH10">
        <v>46231</v>
      </c>
      <c r="AI10" t="s">
        <v>49</v>
      </c>
      <c r="AJ10" t="s">
        <v>49</v>
      </c>
      <c r="AK10">
        <v>2071108450</v>
      </c>
      <c r="AL10">
        <v>0.84789999999999999</v>
      </c>
      <c r="AM10">
        <v>0.19044391556414805</v>
      </c>
      <c r="AN10">
        <v>0.15210000000000001</v>
      </c>
    </row>
    <row r="11" spans="1:42" x14ac:dyDescent="0.3">
      <c r="A11" t="s">
        <v>99</v>
      </c>
      <c r="B11" t="s">
        <v>100</v>
      </c>
      <c r="G11" t="s">
        <v>43</v>
      </c>
      <c r="H11" t="s">
        <v>101</v>
      </c>
      <c r="I11" t="s">
        <v>45</v>
      </c>
      <c r="J11" t="s">
        <v>102</v>
      </c>
      <c r="K11" t="s">
        <v>324</v>
      </c>
      <c r="N11" t="s">
        <v>57</v>
      </c>
      <c r="O11" t="s">
        <v>57</v>
      </c>
      <c r="P11" t="s">
        <v>103</v>
      </c>
      <c r="Q11">
        <v>982272430</v>
      </c>
      <c r="R11">
        <v>46171</v>
      </c>
      <c r="S11">
        <v>49113621</v>
      </c>
      <c r="T11">
        <v>46171</v>
      </c>
      <c r="U11">
        <v>0.95</v>
      </c>
      <c r="V11">
        <v>49113621</v>
      </c>
      <c r="W11">
        <v>0.05</v>
      </c>
      <c r="X11">
        <v>982383493</v>
      </c>
      <c r="Y11">
        <v>0.94989999999999997</v>
      </c>
      <c r="Z11" t="s">
        <v>57</v>
      </c>
      <c r="AA11" t="s">
        <v>49</v>
      </c>
      <c r="AB11" t="s">
        <v>57</v>
      </c>
      <c r="AC11" t="s">
        <v>57</v>
      </c>
      <c r="AD11" t="s">
        <v>50</v>
      </c>
      <c r="AE11" t="s">
        <v>104</v>
      </c>
      <c r="AF11" t="s">
        <v>104</v>
      </c>
      <c r="AG11">
        <v>46136.5</v>
      </c>
      <c r="AH11">
        <v>46226</v>
      </c>
      <c r="AI11" t="s">
        <v>49</v>
      </c>
      <c r="AJ11" t="s">
        <v>49</v>
      </c>
      <c r="AK11">
        <v>982383493</v>
      </c>
      <c r="AL11">
        <v>0.94989999999999997</v>
      </c>
      <c r="AM11">
        <v>1.1306741043317281E-4</v>
      </c>
      <c r="AN11">
        <v>1.0526315789472526E-4</v>
      </c>
    </row>
    <row r="12" spans="1:42" x14ac:dyDescent="0.3">
      <c r="A12" t="s">
        <v>105</v>
      </c>
      <c r="B12" t="s">
        <v>106</v>
      </c>
      <c r="G12" t="s">
        <v>43</v>
      </c>
      <c r="H12" t="s">
        <v>107</v>
      </c>
      <c r="I12" t="s">
        <v>45</v>
      </c>
      <c r="J12" t="s">
        <v>108</v>
      </c>
      <c r="K12" t="s">
        <v>324</v>
      </c>
      <c r="N12" t="s">
        <v>325</v>
      </c>
      <c r="O12" t="s">
        <v>325</v>
      </c>
      <c r="P12" t="s">
        <v>109</v>
      </c>
      <c r="Q12">
        <v>87569383</v>
      </c>
      <c r="R12">
        <v>46022</v>
      </c>
      <c r="S12">
        <v>1586816</v>
      </c>
      <c r="T12">
        <v>46022</v>
      </c>
      <c r="U12">
        <v>0.58140000000000003</v>
      </c>
      <c r="V12">
        <v>1586816</v>
      </c>
      <c r="W12">
        <v>1.8100000000000002E-2</v>
      </c>
      <c r="X12">
        <v>87569383</v>
      </c>
      <c r="Y12">
        <v>0.58140000000000003</v>
      </c>
      <c r="Z12" t="s">
        <v>49</v>
      </c>
      <c r="AA12" t="s">
        <v>49</v>
      </c>
      <c r="AB12" t="s">
        <v>49</v>
      </c>
      <c r="AC12" t="s">
        <v>49</v>
      </c>
      <c r="AD12" t="s">
        <v>50</v>
      </c>
      <c r="AE12" t="s">
        <v>51</v>
      </c>
      <c r="AF12" t="s">
        <v>51</v>
      </c>
      <c r="AG12">
        <v>46063.5</v>
      </c>
      <c r="AH12">
        <v>46154</v>
      </c>
      <c r="AI12" t="s">
        <v>49</v>
      </c>
      <c r="AJ12" t="s">
        <v>49</v>
      </c>
      <c r="AK12">
        <v>87569383</v>
      </c>
      <c r="AL12">
        <v>0.58140000000000003</v>
      </c>
      <c r="AM12">
        <v>0</v>
      </c>
      <c r="AN12">
        <v>0</v>
      </c>
    </row>
    <row r="13" spans="1:42" x14ac:dyDescent="0.3">
      <c r="A13" t="s">
        <v>110</v>
      </c>
      <c r="B13" t="s">
        <v>111</v>
      </c>
      <c r="G13" t="s">
        <v>43</v>
      </c>
      <c r="H13" t="s">
        <v>112</v>
      </c>
      <c r="I13" t="s">
        <v>45</v>
      </c>
      <c r="J13" t="s">
        <v>113</v>
      </c>
      <c r="K13" t="s">
        <v>324</v>
      </c>
      <c r="N13" t="s">
        <v>325</v>
      </c>
      <c r="O13" t="s">
        <v>325</v>
      </c>
      <c r="P13" t="s">
        <v>114</v>
      </c>
      <c r="Q13">
        <v>1775180526</v>
      </c>
      <c r="R13">
        <v>46111</v>
      </c>
      <c r="S13">
        <v>119599386</v>
      </c>
      <c r="T13">
        <v>46111</v>
      </c>
      <c r="U13">
        <v>0.93259999999999998</v>
      </c>
      <c r="V13">
        <v>119599386</v>
      </c>
      <c r="W13">
        <v>6.7400000000000002E-2</v>
      </c>
      <c r="X13">
        <v>1775180526</v>
      </c>
      <c r="Y13">
        <v>0.93259999999999998</v>
      </c>
      <c r="Z13" t="s">
        <v>57</v>
      </c>
      <c r="AA13" t="s">
        <v>49</v>
      </c>
      <c r="AB13" t="s">
        <v>49</v>
      </c>
      <c r="AC13" t="s">
        <v>49</v>
      </c>
      <c r="AD13" t="s">
        <v>50</v>
      </c>
      <c r="AE13" t="s">
        <v>115</v>
      </c>
      <c r="AF13" t="s">
        <v>115</v>
      </c>
      <c r="AG13">
        <v>46062.4375</v>
      </c>
      <c r="AH13">
        <v>46156</v>
      </c>
      <c r="AI13" t="s">
        <v>49</v>
      </c>
      <c r="AJ13" t="s">
        <v>49</v>
      </c>
      <c r="AK13">
        <v>295863421</v>
      </c>
      <c r="AL13">
        <v>0.93259999999999998</v>
      </c>
      <c r="AM13">
        <v>0.83333333333333337</v>
      </c>
      <c r="AN13">
        <v>0</v>
      </c>
    </row>
    <row r="14" spans="1:42" x14ac:dyDescent="0.3">
      <c r="A14" t="s">
        <v>116</v>
      </c>
      <c r="B14" t="s">
        <v>117</v>
      </c>
      <c r="G14" t="s">
        <v>43</v>
      </c>
      <c r="H14" t="s">
        <v>118</v>
      </c>
      <c r="I14" t="s">
        <v>45</v>
      </c>
      <c r="J14" t="s">
        <v>119</v>
      </c>
      <c r="K14" t="s">
        <v>324</v>
      </c>
      <c r="N14" t="s">
        <v>325</v>
      </c>
      <c r="O14" t="s">
        <v>325</v>
      </c>
      <c r="P14" t="s">
        <v>120</v>
      </c>
      <c r="Q14">
        <v>57492322</v>
      </c>
      <c r="R14">
        <v>46112</v>
      </c>
      <c r="S14">
        <v>2006360</v>
      </c>
      <c r="T14">
        <v>46022</v>
      </c>
      <c r="U14">
        <v>1</v>
      </c>
      <c r="V14">
        <v>2006360</v>
      </c>
      <c r="W14">
        <v>3.49E-2</v>
      </c>
      <c r="X14">
        <v>57490722</v>
      </c>
      <c r="Y14">
        <v>1</v>
      </c>
      <c r="Z14" t="s">
        <v>49</v>
      </c>
      <c r="AA14" t="s">
        <v>49</v>
      </c>
      <c r="AB14" t="s">
        <v>57</v>
      </c>
      <c r="AC14" t="s">
        <v>49</v>
      </c>
      <c r="AD14" t="s">
        <v>50</v>
      </c>
      <c r="AE14" t="s">
        <v>121</v>
      </c>
      <c r="AF14" t="s">
        <v>121</v>
      </c>
      <c r="AG14">
        <v>46062.261805555558</v>
      </c>
      <c r="AH14">
        <v>46157</v>
      </c>
      <c r="AI14" t="s">
        <v>49</v>
      </c>
      <c r="AJ14" t="s">
        <v>49</v>
      </c>
      <c r="AK14">
        <v>57490722</v>
      </c>
      <c r="AL14">
        <v>1</v>
      </c>
      <c r="AM14">
        <v>2.7829803082227225E-5</v>
      </c>
      <c r="AN14">
        <v>0</v>
      </c>
    </row>
    <row r="15" spans="1:42" x14ac:dyDescent="0.3">
      <c r="A15" t="s">
        <v>122</v>
      </c>
      <c r="B15" t="s">
        <v>123</v>
      </c>
      <c r="G15" t="s">
        <v>43</v>
      </c>
      <c r="H15" t="s">
        <v>124</v>
      </c>
      <c r="I15" t="s">
        <v>45</v>
      </c>
      <c r="J15" t="s">
        <v>125</v>
      </c>
      <c r="K15" t="s">
        <v>324</v>
      </c>
      <c r="N15" t="s">
        <v>325</v>
      </c>
      <c r="O15" t="s">
        <v>325</v>
      </c>
      <c r="P15" t="s">
        <v>126</v>
      </c>
      <c r="Q15">
        <v>97823748</v>
      </c>
      <c r="R15">
        <v>46022</v>
      </c>
      <c r="S15">
        <v>9910545</v>
      </c>
      <c r="T15">
        <v>46022</v>
      </c>
      <c r="U15">
        <v>0.89870000000000005</v>
      </c>
      <c r="V15">
        <v>9910545</v>
      </c>
      <c r="W15">
        <v>0.1013</v>
      </c>
      <c r="X15">
        <v>97823748</v>
      </c>
      <c r="Y15">
        <v>0.89870000000000005</v>
      </c>
      <c r="Z15" t="s">
        <v>57</v>
      </c>
      <c r="AA15" t="s">
        <v>49</v>
      </c>
      <c r="AB15" t="s">
        <v>49</v>
      </c>
      <c r="AC15" t="s">
        <v>49</v>
      </c>
      <c r="AD15" t="s">
        <v>50</v>
      </c>
      <c r="AE15" t="s">
        <v>51</v>
      </c>
      <c r="AF15" t="s">
        <v>51</v>
      </c>
      <c r="AG15">
        <v>46063.5</v>
      </c>
      <c r="AH15">
        <v>46156</v>
      </c>
      <c r="AI15" t="s">
        <v>49</v>
      </c>
      <c r="AJ15" t="s">
        <v>49</v>
      </c>
      <c r="AK15">
        <v>97823748</v>
      </c>
      <c r="AL15">
        <v>0.89870000000000005</v>
      </c>
      <c r="AM15">
        <v>0</v>
      </c>
      <c r="AN15">
        <v>0</v>
      </c>
    </row>
    <row r="16" spans="1:42" x14ac:dyDescent="0.3">
      <c r="A16" t="s">
        <v>127</v>
      </c>
      <c r="B16" t="s">
        <v>128</v>
      </c>
      <c r="G16" t="s">
        <v>43</v>
      </c>
      <c r="H16" t="s">
        <v>129</v>
      </c>
      <c r="I16" t="s">
        <v>45</v>
      </c>
      <c r="J16" t="s">
        <v>130</v>
      </c>
      <c r="K16" t="s">
        <v>324</v>
      </c>
      <c r="N16" t="s">
        <v>325</v>
      </c>
      <c r="O16" t="s">
        <v>325</v>
      </c>
      <c r="P16" t="s">
        <v>131</v>
      </c>
      <c r="Q16">
        <v>1243877184</v>
      </c>
      <c r="R16">
        <v>46022</v>
      </c>
      <c r="S16">
        <v>38580618</v>
      </c>
      <c r="T16">
        <v>46022</v>
      </c>
      <c r="U16">
        <v>1</v>
      </c>
      <c r="V16">
        <v>38580618</v>
      </c>
      <c r="W16">
        <v>3.1E-2</v>
      </c>
      <c r="X16">
        <v>1243877184</v>
      </c>
      <c r="Y16">
        <v>1</v>
      </c>
      <c r="Z16" t="s">
        <v>49</v>
      </c>
      <c r="AA16" t="s">
        <v>49</v>
      </c>
      <c r="AB16" t="s">
        <v>49</v>
      </c>
      <c r="AC16" t="s">
        <v>49</v>
      </c>
      <c r="AD16" t="s">
        <v>50</v>
      </c>
      <c r="AE16" t="s">
        <v>51</v>
      </c>
      <c r="AF16" t="s">
        <v>51</v>
      </c>
      <c r="AG16">
        <v>46058.4375</v>
      </c>
      <c r="AH16">
        <v>46154</v>
      </c>
      <c r="AI16" t="s">
        <v>49</v>
      </c>
      <c r="AJ16" t="s">
        <v>49</v>
      </c>
      <c r="AK16">
        <v>1243877184</v>
      </c>
      <c r="AL16">
        <v>1</v>
      </c>
      <c r="AM16">
        <v>0</v>
      </c>
      <c r="AN16">
        <v>0</v>
      </c>
    </row>
    <row r="17" spans="1:41" x14ac:dyDescent="0.3">
      <c r="A17" t="s">
        <v>132</v>
      </c>
      <c r="B17" t="s">
        <v>133</v>
      </c>
      <c r="G17" t="s">
        <v>43</v>
      </c>
      <c r="H17" t="s">
        <v>134</v>
      </c>
      <c r="I17" t="s">
        <v>45</v>
      </c>
      <c r="J17" t="s">
        <v>135</v>
      </c>
      <c r="K17" t="s">
        <v>324</v>
      </c>
      <c r="N17" t="s">
        <v>325</v>
      </c>
      <c r="O17" t="s">
        <v>325</v>
      </c>
      <c r="P17" t="s">
        <v>136</v>
      </c>
      <c r="Q17">
        <v>717335273</v>
      </c>
      <c r="R17">
        <v>46042</v>
      </c>
      <c r="S17">
        <v>1906633</v>
      </c>
      <c r="T17">
        <v>46042</v>
      </c>
      <c r="U17">
        <v>0.78590000000000004</v>
      </c>
      <c r="V17">
        <v>1906633</v>
      </c>
      <c r="W17">
        <v>2.7000000000000001E-3</v>
      </c>
      <c r="X17">
        <v>717335273</v>
      </c>
      <c r="Y17">
        <v>0.78590000000000004</v>
      </c>
      <c r="Z17" t="s">
        <v>49</v>
      </c>
      <c r="AA17" t="s">
        <v>49</v>
      </c>
      <c r="AB17" t="s">
        <v>49</v>
      </c>
      <c r="AC17" t="s">
        <v>49</v>
      </c>
      <c r="AD17" t="s">
        <v>50</v>
      </c>
      <c r="AE17" t="s">
        <v>137</v>
      </c>
      <c r="AF17" t="s">
        <v>137</v>
      </c>
      <c r="AG17">
        <v>46058.477777777778</v>
      </c>
      <c r="AH17">
        <v>46157</v>
      </c>
      <c r="AI17">
        <v>45989</v>
      </c>
      <c r="AJ17" t="s">
        <v>49</v>
      </c>
      <c r="AK17">
        <v>717335273</v>
      </c>
      <c r="AL17">
        <v>0.79049999999999998</v>
      </c>
      <c r="AM17">
        <v>0</v>
      </c>
      <c r="AN17">
        <v>5.8531619798955813E-3</v>
      </c>
    </row>
    <row r="18" spans="1:41" x14ac:dyDescent="0.3">
      <c r="A18" t="s">
        <v>138</v>
      </c>
      <c r="B18" t="s">
        <v>139</v>
      </c>
      <c r="G18" t="s">
        <v>43</v>
      </c>
      <c r="H18" t="s">
        <v>140</v>
      </c>
      <c r="I18" t="s">
        <v>45</v>
      </c>
      <c r="J18" t="s">
        <v>141</v>
      </c>
      <c r="K18" t="s">
        <v>324</v>
      </c>
      <c r="N18" t="s">
        <v>325</v>
      </c>
      <c r="O18" t="s">
        <v>325</v>
      </c>
      <c r="P18" t="s">
        <v>142</v>
      </c>
      <c r="Q18">
        <v>149296991</v>
      </c>
      <c r="R18">
        <v>46112</v>
      </c>
      <c r="S18">
        <v>1900322</v>
      </c>
      <c r="T18">
        <v>46112</v>
      </c>
      <c r="U18">
        <v>1</v>
      </c>
      <c r="V18">
        <v>1900322</v>
      </c>
      <c r="W18">
        <v>1.2699999999999999E-2</v>
      </c>
      <c r="X18">
        <v>149296991</v>
      </c>
      <c r="Y18">
        <v>1</v>
      </c>
      <c r="Z18" t="s">
        <v>49</v>
      </c>
      <c r="AA18" t="s">
        <v>49</v>
      </c>
      <c r="AB18" t="s">
        <v>49</v>
      </c>
      <c r="AC18" t="s">
        <v>49</v>
      </c>
      <c r="AD18" t="s">
        <v>50</v>
      </c>
      <c r="AE18" t="s">
        <v>71</v>
      </c>
      <c r="AF18" t="s">
        <v>71</v>
      </c>
      <c r="AG18">
        <v>46140.501388888886</v>
      </c>
      <c r="AH18">
        <v>46232</v>
      </c>
      <c r="AI18" t="s">
        <v>49</v>
      </c>
      <c r="AJ18" t="s">
        <v>49</v>
      </c>
      <c r="AK18">
        <v>149296991</v>
      </c>
      <c r="AL18">
        <v>1</v>
      </c>
      <c r="AM18">
        <v>0</v>
      </c>
      <c r="AN18">
        <v>0</v>
      </c>
    </row>
    <row r="19" spans="1:41" x14ac:dyDescent="0.3">
      <c r="A19" t="s">
        <v>143</v>
      </c>
      <c r="B19" t="s">
        <v>144</v>
      </c>
      <c r="G19" t="s">
        <v>43</v>
      </c>
      <c r="H19" t="s">
        <v>145</v>
      </c>
      <c r="I19" t="s">
        <v>45</v>
      </c>
      <c r="J19" t="s">
        <v>146</v>
      </c>
      <c r="K19" t="s">
        <v>324</v>
      </c>
      <c r="N19" t="s">
        <v>325</v>
      </c>
      <c r="O19" t="s">
        <v>57</v>
      </c>
      <c r="P19" t="s">
        <v>147</v>
      </c>
      <c r="Q19">
        <v>378060179</v>
      </c>
      <c r="R19">
        <v>46022</v>
      </c>
      <c r="S19">
        <v>3943019</v>
      </c>
      <c r="T19">
        <v>46091</v>
      </c>
      <c r="U19">
        <v>0.9385</v>
      </c>
      <c r="V19">
        <v>3943019</v>
      </c>
      <c r="W19">
        <v>1.04E-2</v>
      </c>
      <c r="X19">
        <v>378060179</v>
      </c>
      <c r="Y19">
        <v>0.94169999999999998</v>
      </c>
      <c r="Z19" t="s">
        <v>49</v>
      </c>
      <c r="AA19" t="s">
        <v>49</v>
      </c>
      <c r="AB19" t="s">
        <v>49</v>
      </c>
      <c r="AC19" t="s">
        <v>57</v>
      </c>
      <c r="AD19" t="s">
        <v>50</v>
      </c>
      <c r="AE19" t="s">
        <v>148</v>
      </c>
      <c r="AF19" t="s">
        <v>148</v>
      </c>
      <c r="AG19">
        <v>46063.4375</v>
      </c>
      <c r="AH19">
        <v>46152</v>
      </c>
      <c r="AI19" t="s">
        <v>49</v>
      </c>
      <c r="AJ19" t="s">
        <v>49</v>
      </c>
      <c r="AK19">
        <v>378060179</v>
      </c>
      <c r="AL19">
        <v>0.94169999999999998</v>
      </c>
      <c r="AM19">
        <v>0</v>
      </c>
      <c r="AN19">
        <v>3.4096963239211302E-3</v>
      </c>
    </row>
    <row r="20" spans="1:41" x14ac:dyDescent="0.3">
      <c r="A20" t="s">
        <v>149</v>
      </c>
      <c r="B20" t="s">
        <v>150</v>
      </c>
      <c r="G20" t="s">
        <v>43</v>
      </c>
      <c r="H20" t="s">
        <v>151</v>
      </c>
      <c r="I20" t="s">
        <v>45</v>
      </c>
      <c r="J20" t="s">
        <v>152</v>
      </c>
      <c r="K20" t="s">
        <v>324</v>
      </c>
      <c r="N20" t="s">
        <v>325</v>
      </c>
      <c r="O20" t="s">
        <v>57</v>
      </c>
      <c r="P20" t="s">
        <v>153</v>
      </c>
      <c r="Q20">
        <v>318220968</v>
      </c>
      <c r="R20">
        <v>46081</v>
      </c>
      <c r="S20">
        <v>11381227</v>
      </c>
      <c r="T20">
        <v>46081</v>
      </c>
      <c r="U20">
        <v>0.79849999999999999</v>
      </c>
      <c r="V20">
        <v>11381227</v>
      </c>
      <c r="W20">
        <v>3.5799999999999998E-2</v>
      </c>
      <c r="X20">
        <v>318220968</v>
      </c>
      <c r="Y20">
        <v>0.78800000000000003</v>
      </c>
      <c r="Z20" t="s">
        <v>49</v>
      </c>
      <c r="AA20" t="s">
        <v>49</v>
      </c>
      <c r="AB20" t="s">
        <v>49</v>
      </c>
      <c r="AC20" t="s">
        <v>57</v>
      </c>
      <c r="AD20" t="s">
        <v>50</v>
      </c>
      <c r="AE20" t="s">
        <v>154</v>
      </c>
      <c r="AF20" t="s">
        <v>154</v>
      </c>
      <c r="AG20">
        <v>46121.501388888886</v>
      </c>
      <c r="AH20">
        <v>46211</v>
      </c>
      <c r="AI20" t="s">
        <v>49</v>
      </c>
      <c r="AJ20" t="s">
        <v>49</v>
      </c>
      <c r="AK20">
        <v>318220968</v>
      </c>
      <c r="AL20">
        <v>0.78800000000000003</v>
      </c>
      <c r="AM20">
        <v>0</v>
      </c>
      <c r="AN20">
        <v>1.3149655604257926E-2</v>
      </c>
    </row>
    <row r="21" spans="1:41" x14ac:dyDescent="0.3">
      <c r="A21" t="s">
        <v>155</v>
      </c>
      <c r="B21" t="s">
        <v>156</v>
      </c>
      <c r="G21" t="s">
        <v>43</v>
      </c>
      <c r="H21" t="s">
        <v>157</v>
      </c>
      <c r="I21" t="s">
        <v>45</v>
      </c>
      <c r="J21" t="s">
        <v>158</v>
      </c>
      <c r="K21" t="s">
        <v>324</v>
      </c>
      <c r="N21" t="s">
        <v>325</v>
      </c>
      <c r="O21" t="s">
        <v>57</v>
      </c>
      <c r="P21" t="s">
        <v>159</v>
      </c>
      <c r="Q21">
        <v>72488740</v>
      </c>
      <c r="R21">
        <v>46022</v>
      </c>
      <c r="S21">
        <v>6991568</v>
      </c>
      <c r="T21">
        <v>46153</v>
      </c>
      <c r="U21">
        <v>0.63229999999999997</v>
      </c>
      <c r="V21">
        <v>6991568</v>
      </c>
      <c r="W21">
        <v>9.6500000000000002E-2</v>
      </c>
      <c r="X21">
        <v>72488740</v>
      </c>
      <c r="Y21">
        <v>0.6321</v>
      </c>
      <c r="Z21" t="s">
        <v>57</v>
      </c>
      <c r="AA21" t="s">
        <v>49</v>
      </c>
      <c r="AB21" t="s">
        <v>49</v>
      </c>
      <c r="AC21" t="s">
        <v>57</v>
      </c>
      <c r="AD21" t="s">
        <v>50</v>
      </c>
      <c r="AE21" t="s">
        <v>160</v>
      </c>
      <c r="AF21" t="s">
        <v>160</v>
      </c>
      <c r="AG21">
        <v>46062.395833333336</v>
      </c>
      <c r="AH21">
        <v>46150</v>
      </c>
      <c r="AI21" t="s">
        <v>49</v>
      </c>
      <c r="AJ21" t="s">
        <v>49</v>
      </c>
      <c r="AK21">
        <v>72488740</v>
      </c>
      <c r="AL21">
        <v>0.6321</v>
      </c>
      <c r="AM21">
        <v>0</v>
      </c>
      <c r="AN21">
        <v>3.163055511623881E-4</v>
      </c>
    </row>
    <row r="22" spans="1:41" x14ac:dyDescent="0.3">
      <c r="A22" t="s">
        <v>161</v>
      </c>
      <c r="B22" t="s">
        <v>162</v>
      </c>
      <c r="G22" t="s">
        <v>43</v>
      </c>
      <c r="H22" t="s">
        <v>163</v>
      </c>
      <c r="I22" t="s">
        <v>45</v>
      </c>
      <c r="J22" t="s">
        <v>164</v>
      </c>
      <c r="K22" t="s">
        <v>324</v>
      </c>
      <c r="N22" t="s">
        <v>325</v>
      </c>
      <c r="O22" t="s">
        <v>57</v>
      </c>
      <c r="P22" t="s">
        <v>165</v>
      </c>
      <c r="Q22">
        <v>68468569</v>
      </c>
      <c r="R22">
        <v>46022</v>
      </c>
      <c r="S22">
        <v>5321917</v>
      </c>
      <c r="T22">
        <v>46112</v>
      </c>
      <c r="U22">
        <v>0.86199999999999999</v>
      </c>
      <c r="V22">
        <v>5321917</v>
      </c>
      <c r="W22">
        <v>7.7700000000000005E-2</v>
      </c>
      <c r="X22">
        <v>68468569</v>
      </c>
      <c r="Y22">
        <v>0.77869999999999995</v>
      </c>
      <c r="Z22" t="s">
        <v>57</v>
      </c>
      <c r="AA22" t="s">
        <v>49</v>
      </c>
      <c r="AB22" t="s">
        <v>49</v>
      </c>
      <c r="AC22" t="s">
        <v>57</v>
      </c>
      <c r="AD22" t="s">
        <v>50</v>
      </c>
      <c r="AE22" t="s">
        <v>166</v>
      </c>
      <c r="AF22" t="s">
        <v>166</v>
      </c>
      <c r="AG22">
        <v>46066.5</v>
      </c>
      <c r="AH22">
        <v>46150</v>
      </c>
      <c r="AI22" t="s">
        <v>49</v>
      </c>
      <c r="AJ22" t="s">
        <v>49</v>
      </c>
      <c r="AK22">
        <v>68468569</v>
      </c>
      <c r="AL22">
        <v>0.77869999999999995</v>
      </c>
      <c r="AM22">
        <v>0</v>
      </c>
      <c r="AN22">
        <v>9.663573085846873E-2</v>
      </c>
    </row>
    <row r="23" spans="1:41" x14ac:dyDescent="0.3">
      <c r="A23" t="s">
        <v>167</v>
      </c>
      <c r="B23" t="s">
        <v>168</v>
      </c>
      <c r="G23" t="s">
        <v>43</v>
      </c>
      <c r="H23" t="s">
        <v>169</v>
      </c>
      <c r="I23" t="s">
        <v>45</v>
      </c>
      <c r="J23" t="s">
        <v>170</v>
      </c>
      <c r="K23" t="s">
        <v>324</v>
      </c>
      <c r="N23" t="s">
        <v>325</v>
      </c>
      <c r="O23" t="s">
        <v>325</v>
      </c>
      <c r="P23" t="s">
        <v>171</v>
      </c>
      <c r="Q23">
        <v>88555840</v>
      </c>
      <c r="R23">
        <v>46022</v>
      </c>
      <c r="S23">
        <v>2355229</v>
      </c>
      <c r="T23">
        <v>46022</v>
      </c>
      <c r="U23">
        <v>1</v>
      </c>
      <c r="V23">
        <v>2355229</v>
      </c>
      <c r="W23">
        <v>2.6599999999999999E-2</v>
      </c>
      <c r="X23">
        <v>88555840</v>
      </c>
      <c r="Y23">
        <v>1</v>
      </c>
      <c r="Z23" t="s">
        <v>49</v>
      </c>
      <c r="AA23" t="s">
        <v>49</v>
      </c>
      <c r="AB23" t="s">
        <v>49</v>
      </c>
      <c r="AC23" t="s">
        <v>49</v>
      </c>
      <c r="AD23" t="s">
        <v>50</v>
      </c>
      <c r="AE23" t="s">
        <v>51</v>
      </c>
      <c r="AF23" t="s">
        <v>51</v>
      </c>
      <c r="AG23">
        <v>46059.3125</v>
      </c>
      <c r="AH23">
        <v>46154</v>
      </c>
      <c r="AI23" t="s">
        <v>49</v>
      </c>
      <c r="AJ23" t="s">
        <v>49</v>
      </c>
      <c r="AK23">
        <v>88555840</v>
      </c>
      <c r="AL23">
        <v>1</v>
      </c>
      <c r="AM23">
        <v>0</v>
      </c>
      <c r="AN23">
        <v>0</v>
      </c>
    </row>
    <row r="24" spans="1:41" x14ac:dyDescent="0.3">
      <c r="A24" t="s">
        <v>172</v>
      </c>
      <c r="B24" t="s">
        <v>173</v>
      </c>
      <c r="G24" t="s">
        <v>43</v>
      </c>
      <c r="H24" t="s">
        <v>174</v>
      </c>
      <c r="I24" t="s">
        <v>45</v>
      </c>
      <c r="J24" t="s">
        <v>175</v>
      </c>
      <c r="K24" t="s">
        <v>324</v>
      </c>
      <c r="N24" t="s">
        <v>57</v>
      </c>
      <c r="O24" t="s">
        <v>325</v>
      </c>
      <c r="P24" t="s">
        <v>176</v>
      </c>
      <c r="Q24">
        <v>661122614</v>
      </c>
      <c r="R24">
        <v>46112</v>
      </c>
      <c r="S24">
        <v>14760216</v>
      </c>
      <c r="T24">
        <v>46112</v>
      </c>
      <c r="U24">
        <v>0.83660000000000001</v>
      </c>
      <c r="V24">
        <v>14759996</v>
      </c>
      <c r="W24">
        <v>2.23E-2</v>
      </c>
      <c r="X24">
        <v>660847014</v>
      </c>
      <c r="Y24">
        <v>0.83660000000000001</v>
      </c>
      <c r="Z24" t="s">
        <v>49</v>
      </c>
      <c r="AA24" t="s">
        <v>49</v>
      </c>
      <c r="AB24" t="s">
        <v>57</v>
      </c>
      <c r="AC24" t="s">
        <v>49</v>
      </c>
      <c r="AD24" t="s">
        <v>50</v>
      </c>
      <c r="AE24" t="s">
        <v>71</v>
      </c>
      <c r="AF24" t="s">
        <v>71</v>
      </c>
      <c r="AG24">
        <v>46143.277777777781</v>
      </c>
      <c r="AH24">
        <v>46235</v>
      </c>
      <c r="AI24" t="s">
        <v>49</v>
      </c>
      <c r="AJ24" t="s">
        <v>49</v>
      </c>
      <c r="AK24">
        <v>660798614</v>
      </c>
      <c r="AL24">
        <v>0.83660000000000001</v>
      </c>
      <c r="AM24">
        <v>4.900755066290926E-4</v>
      </c>
      <c r="AN24">
        <v>0</v>
      </c>
      <c r="AO24" t="s">
        <v>177</v>
      </c>
    </row>
    <row r="25" spans="1:41" x14ac:dyDescent="0.3">
      <c r="A25" t="s">
        <v>178</v>
      </c>
      <c r="B25" t="s">
        <v>179</v>
      </c>
      <c r="G25" t="s">
        <v>43</v>
      </c>
      <c r="H25" t="s">
        <v>180</v>
      </c>
      <c r="I25" t="s">
        <v>45</v>
      </c>
      <c r="J25" t="s">
        <v>181</v>
      </c>
      <c r="K25" t="s">
        <v>324</v>
      </c>
      <c r="N25" t="s">
        <v>325</v>
      </c>
      <c r="O25" t="s">
        <v>57</v>
      </c>
      <c r="P25" t="s">
        <v>182</v>
      </c>
      <c r="Q25">
        <v>367594788</v>
      </c>
      <c r="R25">
        <v>46022</v>
      </c>
      <c r="S25">
        <v>6999293</v>
      </c>
      <c r="T25">
        <v>46022</v>
      </c>
      <c r="U25">
        <v>0.752</v>
      </c>
      <c r="V25">
        <v>6999293</v>
      </c>
      <c r="W25">
        <v>1.9E-2</v>
      </c>
      <c r="X25">
        <v>367594788</v>
      </c>
      <c r="Y25">
        <v>0.752</v>
      </c>
      <c r="Z25" t="s">
        <v>49</v>
      </c>
      <c r="AA25" t="s">
        <v>49</v>
      </c>
      <c r="AB25" t="s">
        <v>49</v>
      </c>
      <c r="AC25" t="s">
        <v>49</v>
      </c>
      <c r="AD25" t="s">
        <v>50</v>
      </c>
      <c r="AE25" t="s">
        <v>51</v>
      </c>
      <c r="AF25" t="s">
        <v>51</v>
      </c>
      <c r="AG25">
        <v>46058.5</v>
      </c>
      <c r="AH25">
        <v>46156</v>
      </c>
      <c r="AI25" t="s">
        <v>49</v>
      </c>
      <c r="AJ25" t="s">
        <v>49</v>
      </c>
      <c r="AK25">
        <v>367594788</v>
      </c>
      <c r="AL25">
        <v>0.752</v>
      </c>
      <c r="AM25">
        <v>0</v>
      </c>
      <c r="AN25">
        <v>0</v>
      </c>
    </row>
    <row r="26" spans="1:41" x14ac:dyDescent="0.3">
      <c r="A26" t="s">
        <v>183</v>
      </c>
      <c r="B26" t="s">
        <v>184</v>
      </c>
      <c r="G26" t="s">
        <v>43</v>
      </c>
      <c r="H26" t="s">
        <v>185</v>
      </c>
      <c r="I26" t="s">
        <v>45</v>
      </c>
      <c r="J26" t="s">
        <v>186</v>
      </c>
      <c r="K26" t="s">
        <v>324</v>
      </c>
      <c r="N26" t="s">
        <v>325</v>
      </c>
      <c r="O26" t="s">
        <v>325</v>
      </c>
      <c r="P26" t="s">
        <v>187</v>
      </c>
      <c r="Q26">
        <v>291649149</v>
      </c>
      <c r="R26">
        <v>46022</v>
      </c>
      <c r="S26">
        <v>9534768</v>
      </c>
      <c r="T26">
        <v>46022</v>
      </c>
      <c r="U26">
        <v>1</v>
      </c>
      <c r="V26">
        <v>9534768</v>
      </c>
      <c r="W26">
        <v>3.27E-2</v>
      </c>
      <c r="X26">
        <v>291649149</v>
      </c>
      <c r="Y26">
        <v>1</v>
      </c>
      <c r="Z26" t="s">
        <v>49</v>
      </c>
      <c r="AA26" t="s">
        <v>49</v>
      </c>
      <c r="AB26" t="s">
        <v>49</v>
      </c>
      <c r="AC26" t="s">
        <v>49</v>
      </c>
      <c r="AD26" t="s">
        <v>50</v>
      </c>
      <c r="AE26" t="s">
        <v>51</v>
      </c>
      <c r="AF26" t="s">
        <v>51</v>
      </c>
      <c r="AG26">
        <v>46062.5</v>
      </c>
      <c r="AH26">
        <v>46156</v>
      </c>
      <c r="AI26" t="s">
        <v>49</v>
      </c>
      <c r="AJ26" t="s">
        <v>49</v>
      </c>
      <c r="AK26">
        <v>291649149</v>
      </c>
      <c r="AL26">
        <v>1</v>
      </c>
      <c r="AM26">
        <v>0</v>
      </c>
      <c r="AN26">
        <v>0</v>
      </c>
    </row>
    <row r="27" spans="1:41" x14ac:dyDescent="0.3">
      <c r="A27" t="s">
        <v>188</v>
      </c>
      <c r="B27" t="s">
        <v>189</v>
      </c>
      <c r="G27" t="s">
        <v>43</v>
      </c>
      <c r="H27" t="s">
        <v>190</v>
      </c>
      <c r="I27" t="s">
        <v>45</v>
      </c>
      <c r="J27" t="s">
        <v>191</v>
      </c>
      <c r="K27" t="s">
        <v>324</v>
      </c>
      <c r="N27" t="s">
        <v>57</v>
      </c>
      <c r="O27" t="s">
        <v>325</v>
      </c>
      <c r="P27" t="s">
        <v>192</v>
      </c>
      <c r="Q27">
        <v>457262685</v>
      </c>
      <c r="R27">
        <v>46112</v>
      </c>
      <c r="S27">
        <v>268749</v>
      </c>
      <c r="T27">
        <v>46155</v>
      </c>
      <c r="U27">
        <v>1</v>
      </c>
      <c r="V27">
        <v>268749</v>
      </c>
      <c r="W27">
        <v>5.9999999999999995E-4</v>
      </c>
      <c r="X27">
        <v>457199185</v>
      </c>
      <c r="Y27">
        <v>1</v>
      </c>
      <c r="Z27" t="s">
        <v>49</v>
      </c>
      <c r="AA27" t="s">
        <v>49</v>
      </c>
      <c r="AB27" t="s">
        <v>57</v>
      </c>
      <c r="AC27" t="s">
        <v>49</v>
      </c>
      <c r="AD27" t="s">
        <v>50</v>
      </c>
      <c r="AE27" t="s">
        <v>193</v>
      </c>
      <c r="AF27" t="s">
        <v>193</v>
      </c>
      <c r="AG27">
        <v>46066.5</v>
      </c>
      <c r="AH27">
        <v>46157</v>
      </c>
      <c r="AI27" t="s">
        <v>49</v>
      </c>
      <c r="AJ27" t="s">
        <v>49</v>
      </c>
      <c r="AK27">
        <v>462195185</v>
      </c>
      <c r="AL27">
        <v>1</v>
      </c>
      <c r="AM27">
        <v>1.0787016220227985E-2</v>
      </c>
      <c r="AN27">
        <v>0</v>
      </c>
    </row>
    <row r="28" spans="1:41" x14ac:dyDescent="0.3">
      <c r="A28" t="s">
        <v>194</v>
      </c>
      <c r="B28" t="s">
        <v>195</v>
      </c>
      <c r="G28" t="s">
        <v>43</v>
      </c>
      <c r="H28" t="s">
        <v>196</v>
      </c>
      <c r="I28" t="s">
        <v>45</v>
      </c>
      <c r="J28" t="s">
        <v>197</v>
      </c>
      <c r="K28" t="s">
        <v>324</v>
      </c>
      <c r="N28" t="s">
        <v>325</v>
      </c>
      <c r="O28" t="s">
        <v>325</v>
      </c>
      <c r="P28" t="s">
        <v>198</v>
      </c>
      <c r="Q28">
        <v>1134412200</v>
      </c>
      <c r="R28">
        <v>46112</v>
      </c>
      <c r="S28">
        <v>5343717</v>
      </c>
      <c r="T28">
        <v>46112</v>
      </c>
      <c r="U28">
        <v>1</v>
      </c>
      <c r="V28">
        <v>5340272</v>
      </c>
      <c r="W28">
        <v>4.7000000000000002E-3</v>
      </c>
      <c r="X28">
        <v>1134412200</v>
      </c>
      <c r="Y28">
        <v>1</v>
      </c>
      <c r="Z28" t="s">
        <v>49</v>
      </c>
      <c r="AA28" t="s">
        <v>49</v>
      </c>
      <c r="AB28" t="s">
        <v>49</v>
      </c>
      <c r="AC28" t="s">
        <v>49</v>
      </c>
      <c r="AD28" t="s">
        <v>50</v>
      </c>
      <c r="AE28" t="s">
        <v>71</v>
      </c>
      <c r="AF28" t="s">
        <v>71</v>
      </c>
      <c r="AG28">
        <v>46142.50277777778</v>
      </c>
      <c r="AH28">
        <v>46232</v>
      </c>
      <c r="AI28" t="s">
        <v>49</v>
      </c>
      <c r="AJ28" t="s">
        <v>49</v>
      </c>
      <c r="AK28">
        <v>1134412200</v>
      </c>
      <c r="AL28">
        <v>1</v>
      </c>
      <c r="AM28">
        <v>0</v>
      </c>
      <c r="AN28">
        <v>0</v>
      </c>
    </row>
    <row r="29" spans="1:41" x14ac:dyDescent="0.3">
      <c r="A29" t="s">
        <v>199</v>
      </c>
      <c r="B29" t="s">
        <v>200</v>
      </c>
      <c r="G29" t="s">
        <v>43</v>
      </c>
      <c r="H29" t="s">
        <v>201</v>
      </c>
      <c r="I29" t="s">
        <v>45</v>
      </c>
      <c r="J29" t="s">
        <v>202</v>
      </c>
      <c r="K29" t="s">
        <v>324</v>
      </c>
      <c r="N29" t="s">
        <v>325</v>
      </c>
      <c r="O29" t="s">
        <v>325</v>
      </c>
      <c r="P29" t="s">
        <v>203</v>
      </c>
      <c r="Q29">
        <v>247618938</v>
      </c>
      <c r="R29">
        <v>46081</v>
      </c>
      <c r="S29">
        <v>2318</v>
      </c>
      <c r="T29">
        <v>46081</v>
      </c>
      <c r="U29">
        <v>0.40570000000000001</v>
      </c>
      <c r="V29">
        <v>2318</v>
      </c>
      <c r="W29">
        <v>0</v>
      </c>
      <c r="X29">
        <v>247618938</v>
      </c>
      <c r="Y29">
        <v>0.40570000000000001</v>
      </c>
      <c r="Z29" t="s">
        <v>49</v>
      </c>
      <c r="AA29" t="s">
        <v>49</v>
      </c>
      <c r="AB29" t="s">
        <v>49</v>
      </c>
      <c r="AC29" t="s">
        <v>49</v>
      </c>
      <c r="AD29" t="s">
        <v>50</v>
      </c>
      <c r="AE29" t="s">
        <v>154</v>
      </c>
      <c r="AF29" t="s">
        <v>154</v>
      </c>
      <c r="AG29">
        <v>46120.5</v>
      </c>
      <c r="AH29">
        <v>46210</v>
      </c>
      <c r="AI29" t="s">
        <v>49</v>
      </c>
      <c r="AJ29" t="s">
        <v>49</v>
      </c>
      <c r="AK29">
        <v>247618938</v>
      </c>
      <c r="AL29">
        <v>0.40570000000000001</v>
      </c>
      <c r="AM29">
        <v>0</v>
      </c>
      <c r="AN29">
        <v>0</v>
      </c>
    </row>
    <row r="30" spans="1:41" x14ac:dyDescent="0.3">
      <c r="A30" t="s">
        <v>204</v>
      </c>
      <c r="B30" t="s">
        <v>205</v>
      </c>
      <c r="G30" t="s">
        <v>43</v>
      </c>
      <c r="H30" t="s">
        <v>206</v>
      </c>
      <c r="I30" t="s">
        <v>45</v>
      </c>
      <c r="J30" t="s">
        <v>207</v>
      </c>
      <c r="K30" t="s">
        <v>324</v>
      </c>
      <c r="N30" t="s">
        <v>325</v>
      </c>
      <c r="O30" t="s">
        <v>57</v>
      </c>
      <c r="P30" t="s">
        <v>208</v>
      </c>
      <c r="Q30">
        <v>297681264</v>
      </c>
      <c r="R30">
        <v>46112</v>
      </c>
      <c r="S30">
        <v>14202474</v>
      </c>
      <c r="T30">
        <v>46237</v>
      </c>
      <c r="U30">
        <v>0.52310000000000001</v>
      </c>
      <c r="V30">
        <v>14202474</v>
      </c>
      <c r="W30">
        <v>4.7699999999999999E-2</v>
      </c>
      <c r="X30">
        <v>297681264</v>
      </c>
      <c r="Y30">
        <v>0.50770000000000004</v>
      </c>
      <c r="Z30" t="s">
        <v>49</v>
      </c>
      <c r="AA30" t="s">
        <v>49</v>
      </c>
      <c r="AB30" t="s">
        <v>49</v>
      </c>
      <c r="AC30" t="s">
        <v>57</v>
      </c>
      <c r="AD30" t="s">
        <v>50</v>
      </c>
      <c r="AE30" t="s">
        <v>209</v>
      </c>
      <c r="AF30" t="s">
        <v>209</v>
      </c>
      <c r="AG30">
        <v>46140.4375</v>
      </c>
      <c r="AH30">
        <v>46238</v>
      </c>
      <c r="AI30" t="s">
        <v>49</v>
      </c>
      <c r="AJ30" t="s">
        <v>49</v>
      </c>
      <c r="AK30">
        <v>297681264</v>
      </c>
      <c r="AL30">
        <v>0.50770000000000004</v>
      </c>
      <c r="AM30">
        <v>0</v>
      </c>
      <c r="AN30">
        <v>2.943987765245645E-2</v>
      </c>
    </row>
    <row r="31" spans="1:41" x14ac:dyDescent="0.3">
      <c r="A31" t="s">
        <v>210</v>
      </c>
      <c r="B31" t="s">
        <v>211</v>
      </c>
      <c r="G31" t="s">
        <v>43</v>
      </c>
      <c r="H31" t="s">
        <v>212</v>
      </c>
      <c r="I31" t="s">
        <v>45</v>
      </c>
      <c r="J31" t="s">
        <v>213</v>
      </c>
      <c r="K31" t="s">
        <v>324</v>
      </c>
      <c r="N31" t="s">
        <v>325</v>
      </c>
      <c r="O31" t="s">
        <v>57</v>
      </c>
      <c r="P31" t="s">
        <v>214</v>
      </c>
      <c r="Q31">
        <v>108529000</v>
      </c>
      <c r="R31">
        <v>46022</v>
      </c>
      <c r="S31">
        <v>7989666</v>
      </c>
      <c r="T31">
        <v>46022</v>
      </c>
      <c r="U31">
        <v>0.56079999999999997</v>
      </c>
      <c r="V31">
        <v>7989666</v>
      </c>
      <c r="W31">
        <v>7.3599999999999999E-2</v>
      </c>
      <c r="X31">
        <v>108529000</v>
      </c>
      <c r="Y31">
        <v>0.56040000000000001</v>
      </c>
      <c r="Z31" t="s">
        <v>57</v>
      </c>
      <c r="AA31" t="s">
        <v>49</v>
      </c>
      <c r="AB31" t="s">
        <v>49</v>
      </c>
      <c r="AC31" t="s">
        <v>57</v>
      </c>
      <c r="AD31" t="s">
        <v>50</v>
      </c>
      <c r="AE31" t="s">
        <v>51</v>
      </c>
      <c r="AF31" t="s">
        <v>51</v>
      </c>
      <c r="AG31">
        <v>46065.5625</v>
      </c>
      <c r="AH31">
        <v>46156</v>
      </c>
      <c r="AI31" t="s">
        <v>49</v>
      </c>
      <c r="AJ31" t="s">
        <v>49</v>
      </c>
      <c r="AK31">
        <v>108529000</v>
      </c>
      <c r="AL31">
        <v>0.56040000000000001</v>
      </c>
      <c r="AM31">
        <v>0</v>
      </c>
      <c r="AN31">
        <v>7.1326676176882309E-4</v>
      </c>
    </row>
    <row r="32" spans="1:41" x14ac:dyDescent="0.3">
      <c r="A32" t="s">
        <v>215</v>
      </c>
      <c r="B32" t="s">
        <v>216</v>
      </c>
      <c r="G32" t="s">
        <v>43</v>
      </c>
      <c r="H32" t="s">
        <v>217</v>
      </c>
      <c r="I32" t="s">
        <v>45</v>
      </c>
      <c r="J32" t="s">
        <v>218</v>
      </c>
      <c r="K32" t="s">
        <v>324</v>
      </c>
      <c r="N32" t="s">
        <v>325</v>
      </c>
      <c r="O32" t="s">
        <v>57</v>
      </c>
      <c r="P32" t="s">
        <v>219</v>
      </c>
      <c r="Q32">
        <v>146500000</v>
      </c>
      <c r="R32">
        <v>46081</v>
      </c>
      <c r="S32">
        <v>9483608</v>
      </c>
      <c r="T32">
        <v>46142</v>
      </c>
      <c r="U32">
        <v>0.78069999999999995</v>
      </c>
      <c r="V32">
        <v>8847308</v>
      </c>
      <c r="W32">
        <v>6.0400000000000002E-2</v>
      </c>
      <c r="X32">
        <v>146500000</v>
      </c>
      <c r="Y32">
        <v>0.78259999999999996</v>
      </c>
      <c r="Z32" t="s">
        <v>57</v>
      </c>
      <c r="AA32" t="s">
        <v>57</v>
      </c>
      <c r="AB32" t="s">
        <v>49</v>
      </c>
      <c r="AC32" t="s">
        <v>57</v>
      </c>
      <c r="AD32" t="s">
        <v>50</v>
      </c>
      <c r="AE32" t="s">
        <v>220</v>
      </c>
      <c r="AF32" t="s">
        <v>220</v>
      </c>
      <c r="AG32">
        <v>46126.5</v>
      </c>
      <c r="AH32">
        <v>46198</v>
      </c>
      <c r="AI32" t="s">
        <v>49</v>
      </c>
      <c r="AJ32" t="s">
        <v>49</v>
      </c>
      <c r="AK32">
        <v>146500000</v>
      </c>
      <c r="AL32">
        <v>0.78259999999999996</v>
      </c>
      <c r="AM32">
        <v>0</v>
      </c>
      <c r="AN32">
        <v>2.4337133341872843E-3</v>
      </c>
    </row>
    <row r="33" spans="1:40" x14ac:dyDescent="0.3">
      <c r="A33" t="s">
        <v>221</v>
      </c>
      <c r="B33" t="s">
        <v>222</v>
      </c>
      <c r="G33" t="s">
        <v>43</v>
      </c>
      <c r="H33" t="s">
        <v>223</v>
      </c>
      <c r="I33" t="s">
        <v>45</v>
      </c>
      <c r="J33" t="s">
        <v>224</v>
      </c>
      <c r="K33" t="s">
        <v>324</v>
      </c>
      <c r="N33" t="s">
        <v>325</v>
      </c>
      <c r="O33" t="s">
        <v>325</v>
      </c>
      <c r="P33" t="s">
        <v>225</v>
      </c>
      <c r="Q33">
        <v>61989206</v>
      </c>
      <c r="R33">
        <v>46022</v>
      </c>
      <c r="S33">
        <v>3438166</v>
      </c>
      <c r="T33">
        <v>46065</v>
      </c>
      <c r="U33">
        <v>0.94450000000000001</v>
      </c>
      <c r="V33">
        <v>3438166</v>
      </c>
      <c r="W33">
        <v>5.5500000000000001E-2</v>
      </c>
      <c r="X33">
        <v>61989206</v>
      </c>
      <c r="Y33">
        <v>0.94450000000000001</v>
      </c>
      <c r="Z33" t="s">
        <v>57</v>
      </c>
      <c r="AA33" t="s">
        <v>49</v>
      </c>
      <c r="AB33" t="s">
        <v>49</v>
      </c>
      <c r="AC33" t="s">
        <v>49</v>
      </c>
      <c r="AD33" t="s">
        <v>50</v>
      </c>
      <c r="AE33" t="s">
        <v>226</v>
      </c>
      <c r="AF33" t="s">
        <v>226</v>
      </c>
      <c r="AG33">
        <v>46063.5</v>
      </c>
      <c r="AH33">
        <v>46156</v>
      </c>
      <c r="AI33" t="s">
        <v>49</v>
      </c>
      <c r="AJ33" t="s">
        <v>49</v>
      </c>
      <c r="AK33">
        <v>61989206</v>
      </c>
      <c r="AL33">
        <v>0.94450000000000001</v>
      </c>
      <c r="AM33">
        <v>0</v>
      </c>
      <c r="AN33">
        <v>0</v>
      </c>
    </row>
    <row r="34" spans="1:40" x14ac:dyDescent="0.3">
      <c r="A34" t="s">
        <v>227</v>
      </c>
      <c r="B34" t="s">
        <v>228</v>
      </c>
      <c r="G34" t="s">
        <v>43</v>
      </c>
      <c r="H34" t="s">
        <v>229</v>
      </c>
      <c r="I34" t="s">
        <v>45</v>
      </c>
      <c r="J34" t="s">
        <v>230</v>
      </c>
      <c r="K34" t="s">
        <v>324</v>
      </c>
      <c r="N34" t="s">
        <v>325</v>
      </c>
      <c r="O34" t="s">
        <v>57</v>
      </c>
      <c r="P34" t="s">
        <v>231</v>
      </c>
      <c r="Q34">
        <v>92218200</v>
      </c>
      <c r="R34">
        <v>46052</v>
      </c>
      <c r="S34">
        <v>9168818</v>
      </c>
      <c r="T34">
        <v>46139</v>
      </c>
      <c r="U34">
        <v>0.90059999999999996</v>
      </c>
      <c r="V34">
        <v>9168818</v>
      </c>
      <c r="W34">
        <v>9.9400000000000002E-2</v>
      </c>
      <c r="X34">
        <v>92218200</v>
      </c>
      <c r="Y34">
        <v>0.90049999999999997</v>
      </c>
      <c r="Z34" t="s">
        <v>57</v>
      </c>
      <c r="AA34" t="s">
        <v>49</v>
      </c>
      <c r="AB34" t="s">
        <v>49</v>
      </c>
      <c r="AC34" t="s">
        <v>57</v>
      </c>
      <c r="AD34" t="s">
        <v>50</v>
      </c>
      <c r="AE34" t="s">
        <v>232</v>
      </c>
      <c r="AF34" t="s">
        <v>232</v>
      </c>
      <c r="AG34">
        <v>46065.5</v>
      </c>
      <c r="AH34">
        <v>46156</v>
      </c>
      <c r="AI34" t="s">
        <v>49</v>
      </c>
      <c r="AJ34" t="s">
        <v>49</v>
      </c>
      <c r="AK34">
        <v>93418200</v>
      </c>
      <c r="AL34">
        <v>0.88900000000000001</v>
      </c>
      <c r="AM34">
        <v>1.3012615730951157E-2</v>
      </c>
      <c r="AN34">
        <v>1.2880302020874911E-2</v>
      </c>
    </row>
    <row r="35" spans="1:40" x14ac:dyDescent="0.3">
      <c r="A35" t="s">
        <v>233</v>
      </c>
      <c r="B35" t="s">
        <v>234</v>
      </c>
      <c r="G35" t="s">
        <v>43</v>
      </c>
      <c r="H35" t="s">
        <v>235</v>
      </c>
      <c r="I35" t="s">
        <v>45</v>
      </c>
      <c r="J35" t="s">
        <v>236</v>
      </c>
      <c r="K35" t="s">
        <v>324</v>
      </c>
      <c r="N35" t="s">
        <v>325</v>
      </c>
      <c r="O35" t="s">
        <v>325</v>
      </c>
      <c r="P35" t="s">
        <v>237</v>
      </c>
      <c r="Q35">
        <v>108478029</v>
      </c>
      <c r="R35">
        <v>46112</v>
      </c>
      <c r="S35">
        <v>16004</v>
      </c>
      <c r="T35">
        <v>46112</v>
      </c>
      <c r="U35">
        <v>0.89349999999999996</v>
      </c>
      <c r="V35">
        <v>16004</v>
      </c>
      <c r="W35">
        <v>1E-4</v>
      </c>
      <c r="X35">
        <v>108446529</v>
      </c>
      <c r="Y35">
        <v>0.89339999999999997</v>
      </c>
      <c r="Z35" t="s">
        <v>49</v>
      </c>
      <c r="AA35" t="s">
        <v>49</v>
      </c>
      <c r="AB35" t="s">
        <v>57</v>
      </c>
      <c r="AC35" t="s">
        <v>57</v>
      </c>
      <c r="AD35" t="s">
        <v>50</v>
      </c>
      <c r="AE35" t="s">
        <v>71</v>
      </c>
      <c r="AF35" t="s">
        <v>71</v>
      </c>
      <c r="AG35">
        <v>46134.521527777775</v>
      </c>
      <c r="AH35">
        <v>46225</v>
      </c>
      <c r="AI35" t="s">
        <v>49</v>
      </c>
      <c r="AJ35" t="s">
        <v>49</v>
      </c>
      <c r="AK35">
        <v>108446529</v>
      </c>
      <c r="AL35">
        <v>0.89339999999999997</v>
      </c>
      <c r="AM35">
        <v>2.9038138220597649E-4</v>
      </c>
      <c r="AN35">
        <v>1.1191941801901399E-4</v>
      </c>
    </row>
    <row r="36" spans="1:40" x14ac:dyDescent="0.3">
      <c r="A36" t="s">
        <v>238</v>
      </c>
      <c r="B36" t="s">
        <v>239</v>
      </c>
      <c r="G36" t="s">
        <v>43</v>
      </c>
      <c r="H36" t="s">
        <v>240</v>
      </c>
      <c r="I36" t="s">
        <v>45</v>
      </c>
      <c r="J36" t="s">
        <v>241</v>
      </c>
      <c r="K36" t="s">
        <v>324</v>
      </c>
      <c r="N36" t="s">
        <v>325</v>
      </c>
      <c r="O36" t="s">
        <v>57</v>
      </c>
      <c r="P36" t="s">
        <v>242</v>
      </c>
      <c r="Q36">
        <v>3177296700</v>
      </c>
      <c r="R36">
        <v>46022</v>
      </c>
      <c r="S36">
        <v>161678075</v>
      </c>
      <c r="T36">
        <v>46204</v>
      </c>
      <c r="U36">
        <v>0.63400000000000001</v>
      </c>
      <c r="V36">
        <v>161678075</v>
      </c>
      <c r="W36">
        <v>5.0900000000000001E-2</v>
      </c>
      <c r="X36">
        <v>3177296700</v>
      </c>
      <c r="Y36">
        <v>0.62509999999999999</v>
      </c>
      <c r="Z36" t="s">
        <v>57</v>
      </c>
      <c r="AA36" t="s">
        <v>49</v>
      </c>
      <c r="AB36" t="s">
        <v>49</v>
      </c>
      <c r="AC36" t="s">
        <v>57</v>
      </c>
      <c r="AD36" t="s">
        <v>50</v>
      </c>
      <c r="AE36" t="s">
        <v>243</v>
      </c>
      <c r="AF36" t="s">
        <v>243</v>
      </c>
      <c r="AG36">
        <v>46065.5</v>
      </c>
      <c r="AH36">
        <v>46155</v>
      </c>
      <c r="AI36" t="s">
        <v>49</v>
      </c>
      <c r="AJ36" t="s">
        <v>49</v>
      </c>
      <c r="AK36">
        <v>3177296700</v>
      </c>
      <c r="AL36">
        <v>0.62509999999999999</v>
      </c>
      <c r="AM36">
        <v>0</v>
      </c>
      <c r="AN36">
        <v>1.4037854889589935E-2</v>
      </c>
    </row>
    <row r="37" spans="1:40" x14ac:dyDescent="0.3">
      <c r="A37" t="s">
        <v>244</v>
      </c>
      <c r="B37" t="s">
        <v>245</v>
      </c>
      <c r="G37" t="s">
        <v>43</v>
      </c>
      <c r="H37" t="s">
        <v>246</v>
      </c>
      <c r="I37" t="s">
        <v>45</v>
      </c>
      <c r="J37" t="s">
        <v>247</v>
      </c>
      <c r="K37" t="s">
        <v>324</v>
      </c>
      <c r="N37" t="s">
        <v>325</v>
      </c>
      <c r="O37" t="s">
        <v>325</v>
      </c>
      <c r="P37" t="s">
        <v>248</v>
      </c>
      <c r="Q37">
        <v>1466912244</v>
      </c>
      <c r="R37">
        <v>46022</v>
      </c>
      <c r="S37">
        <v>31108080</v>
      </c>
      <c r="T37">
        <v>46022</v>
      </c>
      <c r="U37">
        <v>0.67800000000000005</v>
      </c>
      <c r="V37">
        <v>31108080</v>
      </c>
      <c r="W37">
        <v>2.12E-2</v>
      </c>
      <c r="X37">
        <v>1466912244</v>
      </c>
      <c r="Y37">
        <v>0.67800000000000005</v>
      </c>
      <c r="Z37" t="s">
        <v>49</v>
      </c>
      <c r="AA37" t="s">
        <v>49</v>
      </c>
      <c r="AB37" t="s">
        <v>49</v>
      </c>
      <c r="AC37" t="s">
        <v>49</v>
      </c>
      <c r="AD37" t="s">
        <v>50</v>
      </c>
      <c r="AE37" t="s">
        <v>51</v>
      </c>
      <c r="AF37" t="s">
        <v>51</v>
      </c>
      <c r="AG37">
        <v>46066.5</v>
      </c>
      <c r="AH37">
        <v>46157</v>
      </c>
      <c r="AI37" t="s">
        <v>49</v>
      </c>
      <c r="AJ37" t="s">
        <v>49</v>
      </c>
      <c r="AK37">
        <v>1466912244</v>
      </c>
      <c r="AL37">
        <v>0.67800000000000005</v>
      </c>
      <c r="AM37">
        <v>0</v>
      </c>
      <c r="AN37">
        <v>0</v>
      </c>
    </row>
    <row r="38" spans="1:40" x14ac:dyDescent="0.3">
      <c r="A38" t="s">
        <v>249</v>
      </c>
      <c r="B38" t="s">
        <v>250</v>
      </c>
      <c r="G38" t="s">
        <v>43</v>
      </c>
      <c r="H38" t="s">
        <v>251</v>
      </c>
      <c r="I38" t="s">
        <v>45</v>
      </c>
      <c r="J38" t="s">
        <v>252</v>
      </c>
      <c r="K38" t="s">
        <v>324</v>
      </c>
      <c r="N38" t="s">
        <v>325</v>
      </c>
      <c r="O38" t="s">
        <v>325</v>
      </c>
      <c r="P38" t="s">
        <v>253</v>
      </c>
      <c r="Q38">
        <v>380004240</v>
      </c>
      <c r="R38">
        <v>46112</v>
      </c>
      <c r="S38">
        <v>803061</v>
      </c>
      <c r="T38">
        <v>46112</v>
      </c>
      <c r="U38">
        <v>0.6653</v>
      </c>
      <c r="V38">
        <v>803041</v>
      </c>
      <c r="W38">
        <v>2.0999999999999999E-3</v>
      </c>
      <c r="X38">
        <v>380004240</v>
      </c>
      <c r="Y38">
        <v>0.6653</v>
      </c>
      <c r="Z38" t="s">
        <v>49</v>
      </c>
      <c r="AA38" t="s">
        <v>49</v>
      </c>
      <c r="AB38" t="s">
        <v>49</v>
      </c>
      <c r="AC38" t="s">
        <v>49</v>
      </c>
      <c r="AD38" t="s">
        <v>50</v>
      </c>
      <c r="AE38" t="s">
        <v>71</v>
      </c>
      <c r="AF38" t="s">
        <v>71</v>
      </c>
      <c r="AG38">
        <v>46142.503472222219</v>
      </c>
      <c r="AH38">
        <v>46234</v>
      </c>
      <c r="AI38" t="s">
        <v>49</v>
      </c>
      <c r="AJ38" t="s">
        <v>49</v>
      </c>
      <c r="AK38">
        <v>380004240</v>
      </c>
      <c r="AL38">
        <v>0.6653</v>
      </c>
      <c r="AM38">
        <v>0</v>
      </c>
      <c r="AN38">
        <v>0</v>
      </c>
    </row>
    <row r="39" spans="1:40" x14ac:dyDescent="0.3">
      <c r="A39" t="s">
        <v>254</v>
      </c>
      <c r="B39" t="s">
        <v>255</v>
      </c>
      <c r="F39" t="s">
        <v>320</v>
      </c>
      <c r="G39" t="s">
        <v>43</v>
      </c>
      <c r="H39" t="s">
        <v>256</v>
      </c>
      <c r="I39" t="s">
        <v>45</v>
      </c>
      <c r="J39" t="s">
        <v>257</v>
      </c>
      <c r="K39" t="s">
        <v>324</v>
      </c>
      <c r="N39" t="s">
        <v>325</v>
      </c>
      <c r="O39" t="s">
        <v>325</v>
      </c>
      <c r="P39" t="s">
        <v>258</v>
      </c>
      <c r="Q39">
        <v>48000000</v>
      </c>
      <c r="R39">
        <v>46081</v>
      </c>
      <c r="S39">
        <v>714476</v>
      </c>
      <c r="T39">
        <v>46081</v>
      </c>
      <c r="U39">
        <v>0.94630000000000003</v>
      </c>
      <c r="V39">
        <v>714476</v>
      </c>
      <c r="W39">
        <v>1.49E-2</v>
      </c>
      <c r="X39">
        <v>48000000</v>
      </c>
      <c r="Y39">
        <v>0.94620000000000004</v>
      </c>
      <c r="Z39" t="s">
        <v>49</v>
      </c>
      <c r="AA39" t="s">
        <v>49</v>
      </c>
      <c r="AB39" t="s">
        <v>49</v>
      </c>
      <c r="AC39" t="s">
        <v>57</v>
      </c>
      <c r="AD39" t="s">
        <v>50</v>
      </c>
      <c r="AE39" t="s">
        <v>154</v>
      </c>
      <c r="AF39" t="s">
        <v>154</v>
      </c>
      <c r="AG39">
        <v>46119.5</v>
      </c>
      <c r="AH39">
        <v>46203</v>
      </c>
      <c r="AI39" t="s">
        <v>49</v>
      </c>
      <c r="AJ39" t="s">
        <v>49</v>
      </c>
      <c r="AK39">
        <v>48000000</v>
      </c>
      <c r="AL39">
        <v>0.94620000000000004</v>
      </c>
      <c r="AM39">
        <v>0</v>
      </c>
      <c r="AN39">
        <v>1.056747331712871E-4</v>
      </c>
    </row>
    <row r="40" spans="1:40" x14ac:dyDescent="0.3">
      <c r="A40" t="s">
        <v>259</v>
      </c>
      <c r="B40" t="s">
        <v>260</v>
      </c>
      <c r="G40" t="s">
        <v>43</v>
      </c>
      <c r="H40" t="s">
        <v>261</v>
      </c>
      <c r="I40" t="s">
        <v>45</v>
      </c>
      <c r="J40" t="s">
        <v>262</v>
      </c>
      <c r="K40" t="s">
        <v>324</v>
      </c>
      <c r="N40" t="s">
        <v>325</v>
      </c>
      <c r="O40" t="s">
        <v>325</v>
      </c>
      <c r="P40" t="s">
        <v>263</v>
      </c>
      <c r="Q40">
        <v>379985028</v>
      </c>
      <c r="R40">
        <v>46262</v>
      </c>
      <c r="S40">
        <v>18039368</v>
      </c>
      <c r="T40">
        <v>46262</v>
      </c>
      <c r="U40">
        <v>0.82179999999999997</v>
      </c>
      <c r="V40">
        <v>18039368</v>
      </c>
      <c r="W40">
        <v>4.7500000000000001E-2</v>
      </c>
      <c r="X40">
        <v>189992514</v>
      </c>
      <c r="Y40">
        <v>0.64349999999999996</v>
      </c>
      <c r="Z40" t="s">
        <v>49</v>
      </c>
      <c r="AA40" t="s">
        <v>49</v>
      </c>
      <c r="AB40" t="s">
        <v>57</v>
      </c>
      <c r="AC40" t="s">
        <v>57</v>
      </c>
      <c r="AD40" t="s">
        <v>50</v>
      </c>
      <c r="AE40" t="s">
        <v>264</v>
      </c>
      <c r="AF40" t="s">
        <v>264</v>
      </c>
      <c r="AG40">
        <v>46121.5</v>
      </c>
      <c r="AH40">
        <v>46211</v>
      </c>
      <c r="AI40" t="s">
        <v>49</v>
      </c>
      <c r="AJ40" t="s">
        <v>49</v>
      </c>
      <c r="AK40">
        <v>189992514</v>
      </c>
      <c r="AL40">
        <v>0.64349999999999996</v>
      </c>
      <c r="AM40">
        <v>0.5</v>
      </c>
      <c r="AN40">
        <v>0.21696276466293504</v>
      </c>
    </row>
    <row r="41" spans="1:40" x14ac:dyDescent="0.3">
      <c r="A41" t="s">
        <v>265</v>
      </c>
      <c r="B41" t="s">
        <v>266</v>
      </c>
      <c r="G41" t="s">
        <v>43</v>
      </c>
      <c r="H41" t="s">
        <v>267</v>
      </c>
      <c r="I41" t="s">
        <v>45</v>
      </c>
      <c r="J41" t="s">
        <v>268</v>
      </c>
      <c r="K41" t="s">
        <v>324</v>
      </c>
      <c r="N41" t="s">
        <v>325</v>
      </c>
      <c r="O41" t="s">
        <v>325</v>
      </c>
      <c r="P41" t="s">
        <v>269</v>
      </c>
      <c r="Q41">
        <v>163954928</v>
      </c>
      <c r="R41">
        <v>46112</v>
      </c>
      <c r="S41">
        <v>4614875</v>
      </c>
      <c r="T41">
        <v>46112</v>
      </c>
      <c r="U41">
        <v>0.92759999999999998</v>
      </c>
      <c r="V41">
        <v>4609571</v>
      </c>
      <c r="W41">
        <v>2.81E-2</v>
      </c>
      <c r="X41">
        <v>163954928</v>
      </c>
      <c r="Y41">
        <v>0.92759999999999998</v>
      </c>
      <c r="Z41" t="s">
        <v>49</v>
      </c>
      <c r="AA41" t="s">
        <v>49</v>
      </c>
      <c r="AB41" t="s">
        <v>49</v>
      </c>
      <c r="AC41" t="s">
        <v>49</v>
      </c>
      <c r="AD41" t="s">
        <v>50</v>
      </c>
      <c r="AE41" t="s">
        <v>71</v>
      </c>
      <c r="AF41" t="s">
        <v>71</v>
      </c>
      <c r="AG41">
        <v>46143.50277777778</v>
      </c>
      <c r="AH41">
        <v>46244</v>
      </c>
      <c r="AI41" t="s">
        <v>49</v>
      </c>
      <c r="AJ41" t="s">
        <v>49</v>
      </c>
      <c r="AK41">
        <v>163954928</v>
      </c>
      <c r="AL41">
        <v>0.92759999999999998</v>
      </c>
      <c r="AM41">
        <v>0</v>
      </c>
      <c r="AN41">
        <v>0</v>
      </c>
    </row>
    <row r="42" spans="1:40" x14ac:dyDescent="0.3">
      <c r="A42" t="s">
        <v>270</v>
      </c>
      <c r="B42" t="s">
        <v>271</v>
      </c>
      <c r="G42" t="s">
        <v>43</v>
      </c>
      <c r="H42" t="s">
        <v>272</v>
      </c>
      <c r="I42" t="s">
        <v>45</v>
      </c>
      <c r="J42" t="s">
        <v>273</v>
      </c>
      <c r="K42" t="s">
        <v>324</v>
      </c>
      <c r="N42" t="s">
        <v>325</v>
      </c>
      <c r="O42" t="s">
        <v>57</v>
      </c>
      <c r="P42" t="s">
        <v>274</v>
      </c>
      <c r="Q42">
        <v>1569378772</v>
      </c>
      <c r="R42">
        <v>46112</v>
      </c>
      <c r="S42">
        <v>183731624</v>
      </c>
      <c r="T42">
        <v>46112</v>
      </c>
      <c r="U42">
        <v>0.88290000000000002</v>
      </c>
      <c r="V42">
        <v>183731624</v>
      </c>
      <c r="W42">
        <v>0.1171</v>
      </c>
      <c r="X42">
        <v>1569378772</v>
      </c>
      <c r="Y42">
        <v>0.88</v>
      </c>
      <c r="Z42" t="s">
        <v>57</v>
      </c>
      <c r="AA42" t="s">
        <v>49</v>
      </c>
      <c r="AB42" t="s">
        <v>49</v>
      </c>
      <c r="AC42" t="s">
        <v>57</v>
      </c>
      <c r="AD42" t="s">
        <v>50</v>
      </c>
      <c r="AE42" t="s">
        <v>71</v>
      </c>
      <c r="AF42" t="s">
        <v>71</v>
      </c>
      <c r="AG42">
        <v>46139.50277777778</v>
      </c>
      <c r="AH42">
        <v>46231</v>
      </c>
      <c r="AI42" t="s">
        <v>49</v>
      </c>
      <c r="AJ42" t="s">
        <v>49</v>
      </c>
      <c r="AK42">
        <v>1569378772</v>
      </c>
      <c r="AL42">
        <v>0.88</v>
      </c>
      <c r="AM42">
        <v>0</v>
      </c>
      <c r="AN42">
        <v>3.284630195945196E-3</v>
      </c>
    </row>
    <row r="43" spans="1:40" x14ac:dyDescent="0.3">
      <c r="A43" t="s">
        <v>275</v>
      </c>
      <c r="B43" t="s">
        <v>276</v>
      </c>
      <c r="G43" t="s">
        <v>43</v>
      </c>
      <c r="H43" t="s">
        <v>277</v>
      </c>
      <c r="I43" t="s">
        <v>45</v>
      </c>
      <c r="J43" t="s">
        <v>278</v>
      </c>
      <c r="K43" t="s">
        <v>324</v>
      </c>
      <c r="N43" t="s">
        <v>325</v>
      </c>
      <c r="O43" t="s">
        <v>325</v>
      </c>
      <c r="P43" t="s">
        <v>279</v>
      </c>
      <c r="Q43">
        <v>88479028</v>
      </c>
      <c r="R43">
        <v>46022</v>
      </c>
      <c r="S43">
        <v>1565382</v>
      </c>
      <c r="T43">
        <v>46080</v>
      </c>
      <c r="U43">
        <v>1</v>
      </c>
      <c r="V43">
        <v>1565382</v>
      </c>
      <c r="W43">
        <v>1.77E-2</v>
      </c>
      <c r="X43">
        <v>88479028</v>
      </c>
      <c r="Y43">
        <v>1</v>
      </c>
      <c r="Z43" t="s">
        <v>49</v>
      </c>
      <c r="AA43" t="s">
        <v>49</v>
      </c>
      <c r="AB43" t="s">
        <v>49</v>
      </c>
      <c r="AC43" t="s">
        <v>49</v>
      </c>
      <c r="AD43" t="s">
        <v>50</v>
      </c>
      <c r="AE43" t="s">
        <v>280</v>
      </c>
      <c r="AF43" t="s">
        <v>280</v>
      </c>
      <c r="AG43">
        <v>46059.5</v>
      </c>
      <c r="AH43">
        <v>46155</v>
      </c>
      <c r="AI43" t="s">
        <v>49</v>
      </c>
      <c r="AJ43" t="s">
        <v>49</v>
      </c>
      <c r="AK43">
        <v>88479028</v>
      </c>
      <c r="AL43">
        <v>1</v>
      </c>
      <c r="AM43">
        <v>0</v>
      </c>
      <c r="AN43">
        <v>0</v>
      </c>
    </row>
    <row r="44" spans="1:40" x14ac:dyDescent="0.3">
      <c r="A44" t="s">
        <v>281</v>
      </c>
      <c r="B44" t="s">
        <v>282</v>
      </c>
      <c r="G44" t="s">
        <v>43</v>
      </c>
      <c r="H44" t="s">
        <v>283</v>
      </c>
      <c r="I44" t="s">
        <v>45</v>
      </c>
      <c r="J44" t="s">
        <v>284</v>
      </c>
      <c r="K44" t="s">
        <v>324</v>
      </c>
      <c r="N44" t="s">
        <v>325</v>
      </c>
      <c r="O44" t="s">
        <v>325</v>
      </c>
      <c r="P44" t="s">
        <v>285</v>
      </c>
      <c r="Q44">
        <v>659636182</v>
      </c>
      <c r="R44">
        <v>46022</v>
      </c>
      <c r="S44">
        <v>40288229</v>
      </c>
      <c r="T44">
        <v>46022</v>
      </c>
      <c r="U44">
        <v>0.93889999999999996</v>
      </c>
      <c r="V44">
        <v>40288229</v>
      </c>
      <c r="W44">
        <v>6.1100000000000002E-2</v>
      </c>
      <c r="X44">
        <v>659636182</v>
      </c>
      <c r="Y44">
        <v>0.93889999999999996</v>
      </c>
      <c r="Z44" t="s">
        <v>57</v>
      </c>
      <c r="AA44" t="s">
        <v>49</v>
      </c>
      <c r="AB44" t="s">
        <v>49</v>
      </c>
      <c r="AC44" t="s">
        <v>49</v>
      </c>
      <c r="AD44" t="s">
        <v>50</v>
      </c>
      <c r="AE44" t="s">
        <v>51</v>
      </c>
      <c r="AF44" t="s">
        <v>51</v>
      </c>
      <c r="AG44">
        <v>46066.4375</v>
      </c>
      <c r="AH44">
        <v>46155</v>
      </c>
      <c r="AI44" t="s">
        <v>49</v>
      </c>
      <c r="AJ44" t="s">
        <v>49</v>
      </c>
      <c r="AK44">
        <v>659636182</v>
      </c>
      <c r="AL44">
        <v>0.93889999999999996</v>
      </c>
      <c r="AM44">
        <v>0</v>
      </c>
      <c r="AN44">
        <v>0</v>
      </c>
    </row>
    <row r="45" spans="1:40" x14ac:dyDescent="0.3">
      <c r="A45" t="s">
        <v>286</v>
      </c>
      <c r="B45" t="s">
        <v>287</v>
      </c>
      <c r="G45" t="s">
        <v>43</v>
      </c>
      <c r="H45" t="s">
        <v>288</v>
      </c>
      <c r="I45" t="s">
        <v>45</v>
      </c>
      <c r="J45" t="s">
        <v>289</v>
      </c>
      <c r="K45" t="s">
        <v>324</v>
      </c>
      <c r="N45" t="s">
        <v>325</v>
      </c>
      <c r="O45" t="s">
        <v>325</v>
      </c>
      <c r="P45" t="s">
        <v>290</v>
      </c>
      <c r="Q45">
        <v>2307136666</v>
      </c>
      <c r="R45">
        <v>46022</v>
      </c>
      <c r="S45">
        <v>54581983</v>
      </c>
      <c r="T45">
        <v>46052</v>
      </c>
      <c r="U45">
        <v>1</v>
      </c>
      <c r="V45">
        <v>54581983</v>
      </c>
      <c r="W45">
        <v>2.3699999999999999E-2</v>
      </c>
      <c r="X45">
        <v>2307136666</v>
      </c>
      <c r="Y45">
        <v>1</v>
      </c>
      <c r="Z45" t="s">
        <v>49</v>
      </c>
      <c r="AA45" t="s">
        <v>49</v>
      </c>
      <c r="AB45" t="s">
        <v>49</v>
      </c>
      <c r="AC45" t="s">
        <v>49</v>
      </c>
      <c r="AD45" t="s">
        <v>50</v>
      </c>
      <c r="AE45" t="s">
        <v>291</v>
      </c>
      <c r="AF45" t="s">
        <v>291</v>
      </c>
      <c r="AG45">
        <v>46052.520833333336</v>
      </c>
      <c r="AH45">
        <v>46154</v>
      </c>
      <c r="AI45" t="s">
        <v>49</v>
      </c>
      <c r="AJ45" t="s">
        <v>49</v>
      </c>
      <c r="AK45">
        <v>2307136666</v>
      </c>
      <c r="AL45">
        <v>1</v>
      </c>
      <c r="AM45">
        <v>0</v>
      </c>
      <c r="AN45">
        <v>0</v>
      </c>
    </row>
    <row r="46" spans="1:40" x14ac:dyDescent="0.3">
      <c r="A46" t="s">
        <v>292</v>
      </c>
      <c r="B46" t="s">
        <v>293</v>
      </c>
      <c r="G46" t="s">
        <v>43</v>
      </c>
      <c r="H46" t="s">
        <v>294</v>
      </c>
      <c r="I46" t="s">
        <v>45</v>
      </c>
      <c r="J46" t="s">
        <v>295</v>
      </c>
      <c r="K46" t="s">
        <v>324</v>
      </c>
      <c r="N46" t="s">
        <v>325</v>
      </c>
      <c r="O46" t="s">
        <v>325</v>
      </c>
      <c r="P46" t="s">
        <v>296</v>
      </c>
      <c r="Q46">
        <v>275657868</v>
      </c>
      <c r="R46">
        <v>46022</v>
      </c>
      <c r="S46">
        <v>13253862</v>
      </c>
      <c r="T46">
        <v>46022</v>
      </c>
      <c r="U46">
        <v>1</v>
      </c>
      <c r="V46">
        <v>13253862</v>
      </c>
      <c r="W46">
        <v>4.8099999999999997E-2</v>
      </c>
      <c r="X46">
        <v>275657868</v>
      </c>
      <c r="Y46">
        <v>1</v>
      </c>
      <c r="Z46" t="s">
        <v>49</v>
      </c>
      <c r="AA46" t="s">
        <v>49</v>
      </c>
      <c r="AB46" t="s">
        <v>49</v>
      </c>
      <c r="AC46" t="s">
        <v>49</v>
      </c>
      <c r="AD46" t="s">
        <v>50</v>
      </c>
      <c r="AE46" t="s">
        <v>51</v>
      </c>
      <c r="AF46" t="s">
        <v>51</v>
      </c>
      <c r="AG46">
        <v>46052.520833333336</v>
      </c>
      <c r="AH46">
        <v>46157</v>
      </c>
      <c r="AI46" t="s">
        <v>49</v>
      </c>
      <c r="AJ46" t="s">
        <v>49</v>
      </c>
      <c r="AK46">
        <v>275657868</v>
      </c>
      <c r="AL46">
        <v>1</v>
      </c>
      <c r="AM46">
        <v>0</v>
      </c>
      <c r="AN46">
        <v>0</v>
      </c>
    </row>
    <row r="47" spans="1:40" x14ac:dyDescent="0.3">
      <c r="A47" t="s">
        <v>297</v>
      </c>
      <c r="B47" t="s">
        <v>298</v>
      </c>
      <c r="G47" t="s">
        <v>43</v>
      </c>
      <c r="H47" t="s">
        <v>299</v>
      </c>
      <c r="I47" t="s">
        <v>45</v>
      </c>
      <c r="J47" t="s">
        <v>300</v>
      </c>
      <c r="K47" t="s">
        <v>324</v>
      </c>
      <c r="N47" t="s">
        <v>325</v>
      </c>
      <c r="O47" t="s">
        <v>325</v>
      </c>
      <c r="P47" t="s">
        <v>301</v>
      </c>
      <c r="Q47">
        <v>190759972</v>
      </c>
      <c r="R47">
        <v>46111</v>
      </c>
      <c r="S47">
        <v>1671866</v>
      </c>
      <c r="T47">
        <v>46111</v>
      </c>
      <c r="U47">
        <v>1</v>
      </c>
      <c r="V47">
        <v>1671866</v>
      </c>
      <c r="W47">
        <v>8.8000000000000005E-3</v>
      </c>
      <c r="X47">
        <v>190759972</v>
      </c>
      <c r="Y47">
        <v>1</v>
      </c>
      <c r="Z47" t="s">
        <v>49</v>
      </c>
      <c r="AA47" t="s">
        <v>49</v>
      </c>
      <c r="AB47" t="s">
        <v>49</v>
      </c>
      <c r="AC47" t="s">
        <v>49</v>
      </c>
      <c r="AD47" t="s">
        <v>50</v>
      </c>
      <c r="AE47" t="s">
        <v>115</v>
      </c>
      <c r="AF47" t="s">
        <v>115</v>
      </c>
      <c r="AG47">
        <v>46052.503472222219</v>
      </c>
      <c r="AH47">
        <v>46155</v>
      </c>
      <c r="AI47" t="s">
        <v>49</v>
      </c>
      <c r="AJ47" t="s">
        <v>49</v>
      </c>
      <c r="AK47">
        <v>95379986</v>
      </c>
      <c r="AL47">
        <v>1</v>
      </c>
      <c r="AM47">
        <v>0.5</v>
      </c>
      <c r="AN47">
        <v>0</v>
      </c>
    </row>
    <row r="48" spans="1:40" x14ac:dyDescent="0.3">
      <c r="A48" t="s">
        <v>302</v>
      </c>
      <c r="B48" t="s">
        <v>303</v>
      </c>
      <c r="G48" t="s">
        <v>43</v>
      </c>
      <c r="H48" t="s">
        <v>304</v>
      </c>
      <c r="I48" t="s">
        <v>45</v>
      </c>
      <c r="J48" t="s">
        <v>305</v>
      </c>
      <c r="K48" t="s">
        <v>324</v>
      </c>
      <c r="N48" t="s">
        <v>325</v>
      </c>
      <c r="O48" t="s">
        <v>57</v>
      </c>
      <c r="P48" t="s">
        <v>306</v>
      </c>
      <c r="Q48">
        <v>439480692</v>
      </c>
      <c r="R48">
        <v>46107</v>
      </c>
      <c r="S48">
        <v>7476489</v>
      </c>
      <c r="T48">
        <v>46227</v>
      </c>
      <c r="U48">
        <v>1</v>
      </c>
      <c r="V48">
        <v>7476489</v>
      </c>
      <c r="W48">
        <v>1.7000000000000001E-2</v>
      </c>
      <c r="X48">
        <v>524480692</v>
      </c>
      <c r="Y48">
        <v>0.82709999999999995</v>
      </c>
      <c r="Z48" t="s">
        <v>49</v>
      </c>
      <c r="AA48" t="s">
        <v>49</v>
      </c>
      <c r="AB48" t="s">
        <v>57</v>
      </c>
      <c r="AC48" t="s">
        <v>57</v>
      </c>
      <c r="AD48" t="s">
        <v>50</v>
      </c>
      <c r="AE48" t="s">
        <v>307</v>
      </c>
      <c r="AF48" t="s">
        <v>307</v>
      </c>
      <c r="AG48">
        <v>46066.5</v>
      </c>
      <c r="AH48">
        <v>46155</v>
      </c>
      <c r="AI48" t="s">
        <v>49</v>
      </c>
      <c r="AJ48" t="s">
        <v>49</v>
      </c>
      <c r="AK48">
        <v>524480692</v>
      </c>
      <c r="AL48">
        <v>0.82720000000000005</v>
      </c>
      <c r="AM48">
        <v>0.19341008956088565</v>
      </c>
      <c r="AN48">
        <v>0.17279999999999995</v>
      </c>
    </row>
    <row r="49" spans="1:40" x14ac:dyDescent="0.3">
      <c r="A49" t="s">
        <v>308</v>
      </c>
      <c r="B49" t="s">
        <v>309</v>
      </c>
      <c r="G49" t="s">
        <v>43</v>
      </c>
      <c r="H49" t="s">
        <v>310</v>
      </c>
      <c r="I49" t="s">
        <v>45</v>
      </c>
      <c r="J49" t="s">
        <v>311</v>
      </c>
      <c r="K49" t="s">
        <v>324</v>
      </c>
      <c r="N49" t="s">
        <v>325</v>
      </c>
      <c r="O49" t="s">
        <v>57</v>
      </c>
      <c r="P49" t="s">
        <v>312</v>
      </c>
      <c r="Q49">
        <v>456900154</v>
      </c>
      <c r="R49">
        <v>46168</v>
      </c>
      <c r="S49">
        <v>610981</v>
      </c>
      <c r="T49">
        <v>46022</v>
      </c>
      <c r="U49">
        <v>0.54990000000000006</v>
      </c>
      <c r="V49">
        <v>610981</v>
      </c>
      <c r="W49">
        <v>1.2999999999999999E-3</v>
      </c>
      <c r="X49">
        <v>397900154</v>
      </c>
      <c r="Y49">
        <v>0.48320000000000002</v>
      </c>
      <c r="Z49" t="s">
        <v>49</v>
      </c>
      <c r="AA49" t="s">
        <v>49</v>
      </c>
      <c r="AB49" t="s">
        <v>57</v>
      </c>
      <c r="AC49" t="s">
        <v>57</v>
      </c>
      <c r="AD49" t="s">
        <v>50</v>
      </c>
      <c r="AE49" t="s">
        <v>313</v>
      </c>
      <c r="AF49" t="s">
        <v>313</v>
      </c>
      <c r="AG49">
        <v>46055.634027777778</v>
      </c>
      <c r="AH49">
        <v>46155</v>
      </c>
      <c r="AI49" t="s">
        <v>49</v>
      </c>
      <c r="AJ49" t="s">
        <v>49</v>
      </c>
      <c r="AK49">
        <v>397900154</v>
      </c>
      <c r="AL49">
        <v>0.48320000000000002</v>
      </c>
      <c r="AM49">
        <v>0.12913105737320457</v>
      </c>
      <c r="AN49">
        <v>0.12129478086924901</v>
      </c>
    </row>
    <row r="50" spans="1:40" x14ac:dyDescent="0.3">
      <c r="A50" t="s">
        <v>314</v>
      </c>
      <c r="B50" t="s">
        <v>315</v>
      </c>
      <c r="G50" t="s">
        <v>43</v>
      </c>
      <c r="H50" t="s">
        <v>316</v>
      </c>
      <c r="I50" t="s">
        <v>45</v>
      </c>
      <c r="J50" t="s">
        <v>317</v>
      </c>
      <c r="K50" t="s">
        <v>324</v>
      </c>
      <c r="N50" t="s">
        <v>325</v>
      </c>
      <c r="O50" t="s">
        <v>325</v>
      </c>
      <c r="P50" t="s">
        <v>318</v>
      </c>
      <c r="Q50">
        <v>95156904</v>
      </c>
      <c r="R50">
        <v>46022</v>
      </c>
      <c r="S50">
        <v>476859</v>
      </c>
      <c r="T50">
        <v>46022</v>
      </c>
      <c r="U50">
        <v>0.86660000000000004</v>
      </c>
      <c r="V50">
        <v>476859</v>
      </c>
      <c r="W50">
        <v>5.0000000000000001E-3</v>
      </c>
      <c r="X50">
        <v>95156904</v>
      </c>
      <c r="Y50">
        <v>0.86660000000000004</v>
      </c>
      <c r="Z50" t="s">
        <v>49</v>
      </c>
      <c r="AA50" t="s">
        <v>49</v>
      </c>
      <c r="AB50" t="s">
        <v>49</v>
      </c>
      <c r="AC50" t="s">
        <v>49</v>
      </c>
      <c r="AD50" t="s">
        <v>50</v>
      </c>
      <c r="AE50" t="s">
        <v>51</v>
      </c>
      <c r="AF50" t="s">
        <v>51</v>
      </c>
      <c r="AG50">
        <v>46069.354166666664</v>
      </c>
      <c r="AH50">
        <v>46156</v>
      </c>
      <c r="AI50" t="s">
        <v>49</v>
      </c>
      <c r="AJ50" t="s">
        <v>49</v>
      </c>
      <c r="AK50">
        <v>95156904</v>
      </c>
      <c r="AL50">
        <v>0.86660000000000004</v>
      </c>
      <c r="AM50">
        <v>0</v>
      </c>
      <c r="AN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683AF-A346-433F-9C8B-778B67E6FA6F}">
  <dimension ref="A1:L50"/>
  <sheetViews>
    <sheetView workbookViewId="0">
      <selection activeCell="L50" sqref="K2:L50"/>
    </sheetView>
  </sheetViews>
  <sheetFormatPr defaultRowHeight="14.4" x14ac:dyDescent="0.3"/>
  <cols>
    <col min="2" max="2" width="11" bestFit="1" customWidth="1"/>
    <col min="5" max="5" width="10" bestFit="1" customWidth="1"/>
  </cols>
  <sheetData>
    <row r="1" spans="1:12" x14ac:dyDescent="0.3">
      <c r="A1" t="s">
        <v>321</v>
      </c>
      <c r="B1" t="s">
        <v>322</v>
      </c>
      <c r="C1" t="s">
        <v>323</v>
      </c>
    </row>
    <row r="2" spans="1:12" x14ac:dyDescent="0.3">
      <c r="A2" t="s">
        <v>48</v>
      </c>
      <c r="B2">
        <v>395888177</v>
      </c>
      <c r="C2">
        <v>100</v>
      </c>
      <c r="D2" t="str">
        <f>LEFT(A2,4)</f>
        <v>8334</v>
      </c>
      <c r="E2">
        <f>_xlfn.XLOOKUP(D2,Sheet1!H:H,Sheet1!Q:Q)</f>
        <v>395888177</v>
      </c>
      <c r="F2">
        <f>_xlfn.XLOOKUP(D2,Sheet1!H:H,Sheet1!Y:Y)*100</f>
        <v>100</v>
      </c>
      <c r="G2" t="str">
        <f>IF(B2&lt;&gt;E2,"Y", "N")</f>
        <v>N</v>
      </c>
      <c r="H2" t="str">
        <f>IF(C2&lt;&gt;F2,"Y", "N")</f>
        <v>N</v>
      </c>
      <c r="J2" t="s">
        <v>44</v>
      </c>
      <c r="K2" t="str" cm="1">
        <f t="array" ref="K2:L2">_xlfn.XLOOKUP(J2,D:D,G:H)</f>
        <v>N</v>
      </c>
      <c r="L2" t="str">
        <v>N</v>
      </c>
    </row>
    <row r="3" spans="1:12" x14ac:dyDescent="0.3">
      <c r="A3" t="s">
        <v>70</v>
      </c>
      <c r="B3">
        <v>581241511</v>
      </c>
      <c r="C3">
        <v>80.09</v>
      </c>
      <c r="D3" t="str">
        <f t="shared" ref="D3:D46" si="0">LEFT(A3,4)</f>
        <v>4307</v>
      </c>
      <c r="E3">
        <f>_xlfn.XLOOKUP(D3,Sheet1!H:H,Sheet1!Q:Q)</f>
        <v>581241511</v>
      </c>
      <c r="F3">
        <f>_xlfn.XLOOKUP(D3,Sheet1!H:H,Sheet1!Y:Y)*100</f>
        <v>80.089999999999989</v>
      </c>
      <c r="G3" t="str">
        <f t="shared" ref="G3:G46" si="1">IF(B3&lt;&gt;E3,"Y", "N")</f>
        <v>N</v>
      </c>
      <c r="H3" t="str">
        <f t="shared" ref="H3:H46" si="2">IF(C3&lt;&gt;F3,"Y", "N")</f>
        <v>N</v>
      </c>
      <c r="J3" t="s">
        <v>54</v>
      </c>
    </row>
    <row r="4" spans="1:12" x14ac:dyDescent="0.3">
      <c r="A4" t="s">
        <v>82</v>
      </c>
      <c r="B4">
        <v>132960000</v>
      </c>
      <c r="C4">
        <v>64.680000000000007</v>
      </c>
      <c r="D4" t="str">
        <f t="shared" si="0"/>
        <v>2702</v>
      </c>
      <c r="E4">
        <f>_xlfn.XLOOKUP(D4,Sheet1!H:H,Sheet1!Q:Q)</f>
        <v>132960000</v>
      </c>
      <c r="F4">
        <f>_xlfn.XLOOKUP(D4,Sheet1!H:H,Sheet1!Y:Y)*100</f>
        <v>64.680000000000007</v>
      </c>
      <c r="G4" t="str">
        <f t="shared" si="1"/>
        <v>N</v>
      </c>
      <c r="H4" t="str">
        <f t="shared" si="2"/>
        <v>N</v>
      </c>
      <c r="J4" t="s">
        <v>62</v>
      </c>
    </row>
    <row r="5" spans="1:12" x14ac:dyDescent="0.3">
      <c r="A5" t="s">
        <v>87</v>
      </c>
      <c r="B5">
        <v>70666917</v>
      </c>
      <c r="C5">
        <v>100</v>
      </c>
      <c r="D5" t="str">
        <f t="shared" si="0"/>
        <v>5801</v>
      </c>
      <c r="E5">
        <f>_xlfn.XLOOKUP(D5,Sheet1!H:H,Sheet1!Q:Q)</f>
        <v>70666917</v>
      </c>
      <c r="F5">
        <f>_xlfn.XLOOKUP(D5,Sheet1!H:H,Sheet1!Y:Y)*100</f>
        <v>100</v>
      </c>
      <c r="G5" t="str">
        <f t="shared" si="1"/>
        <v>N</v>
      </c>
      <c r="H5" t="str">
        <f t="shared" si="2"/>
        <v>N</v>
      </c>
      <c r="J5" t="s">
        <v>68</v>
      </c>
      <c r="K5" t="str" cm="1">
        <f t="array" ref="K5:L5">_xlfn.XLOOKUP(J5,D:D,G:H)</f>
        <v>N</v>
      </c>
      <c r="L5" t="str">
        <v>N</v>
      </c>
    </row>
    <row r="6" spans="1:12" x14ac:dyDescent="0.3">
      <c r="A6" t="s">
        <v>92</v>
      </c>
      <c r="B6">
        <v>37747300</v>
      </c>
      <c r="C6">
        <v>56.63</v>
      </c>
      <c r="D6" t="str">
        <f t="shared" si="0"/>
        <v>6960</v>
      </c>
      <c r="E6">
        <f>_xlfn.XLOOKUP(D6,Sheet1!H:H,Sheet1!Q:Q)</f>
        <v>37747300</v>
      </c>
      <c r="F6">
        <f>_xlfn.XLOOKUP(D6,Sheet1!H:H,Sheet1!Y:Y)*100</f>
        <v>57.389999999999993</v>
      </c>
      <c r="G6" t="str">
        <f t="shared" si="1"/>
        <v>N</v>
      </c>
      <c r="H6" t="str">
        <f t="shared" si="2"/>
        <v>Y</v>
      </c>
      <c r="J6" t="s">
        <v>74</v>
      </c>
      <c r="K6" t="str" cm="1">
        <f t="array" ref="K6:L6">_xlfn.XLOOKUP(J6,D:D,G:H)</f>
        <v>N</v>
      </c>
      <c r="L6" t="str">
        <v>Y</v>
      </c>
    </row>
    <row r="7" spans="1:12" x14ac:dyDescent="0.3">
      <c r="A7" t="s">
        <v>98</v>
      </c>
      <c r="B7">
        <v>1739778265</v>
      </c>
      <c r="C7">
        <v>100</v>
      </c>
      <c r="D7" t="str">
        <f t="shared" si="0"/>
        <v>6702</v>
      </c>
      <c r="E7">
        <f>_xlfn.XLOOKUP(D7,Sheet1!H:H,Sheet1!Q:Q)</f>
        <v>1739778265</v>
      </c>
      <c r="F7">
        <f>_xlfn.XLOOKUP(D7,Sheet1!H:H,Sheet1!Y:Y)*100</f>
        <v>84.350000000000009</v>
      </c>
      <c r="G7" t="str">
        <f t="shared" si="1"/>
        <v>N</v>
      </c>
      <c r="H7" t="str">
        <f t="shared" si="2"/>
        <v>Y</v>
      </c>
      <c r="J7" t="s">
        <v>80</v>
      </c>
      <c r="K7" t="str" cm="1">
        <f t="array" ref="K7:L7">_xlfn.XLOOKUP(J7,D:D,G:H)</f>
        <v>N</v>
      </c>
      <c r="L7" t="str">
        <v>N</v>
      </c>
    </row>
    <row r="8" spans="1:12" x14ac:dyDescent="0.3">
      <c r="A8" t="s">
        <v>109</v>
      </c>
      <c r="B8">
        <v>87569383</v>
      </c>
      <c r="C8">
        <v>58.14</v>
      </c>
      <c r="D8" t="str">
        <f t="shared" si="0"/>
        <v>2607</v>
      </c>
      <c r="E8">
        <f>_xlfn.XLOOKUP(D8,Sheet1!H:H,Sheet1!Q:Q)</f>
        <v>87569383</v>
      </c>
      <c r="F8">
        <f>_xlfn.XLOOKUP(D8,Sheet1!H:H,Sheet1!Y:Y)*100</f>
        <v>58.14</v>
      </c>
      <c r="G8" t="str">
        <f t="shared" si="1"/>
        <v>N</v>
      </c>
      <c r="H8" t="str">
        <f t="shared" si="2"/>
        <v>N</v>
      </c>
      <c r="J8" t="s">
        <v>85</v>
      </c>
      <c r="K8" t="str" cm="1">
        <f t="array" ref="K8:L8">_xlfn.XLOOKUP(J8,D:D,G:H)</f>
        <v>N</v>
      </c>
      <c r="L8" t="str">
        <v>N</v>
      </c>
    </row>
    <row r="9" spans="1:12" x14ac:dyDescent="0.3">
      <c r="A9" t="s">
        <v>114</v>
      </c>
      <c r="B9">
        <v>1775180526</v>
      </c>
      <c r="C9">
        <v>93.26</v>
      </c>
      <c r="D9" t="str">
        <f t="shared" si="0"/>
        <v>5803</v>
      </c>
      <c r="E9">
        <f>_xlfn.XLOOKUP(D9,Sheet1!H:H,Sheet1!Q:Q)</f>
        <v>1775180526</v>
      </c>
      <c r="F9">
        <f>_xlfn.XLOOKUP(D9,Sheet1!H:H,Sheet1!Y:Y)*100</f>
        <v>93.26</v>
      </c>
      <c r="G9" t="str">
        <f t="shared" si="1"/>
        <v>N</v>
      </c>
      <c r="H9" t="str">
        <f t="shared" si="2"/>
        <v>N</v>
      </c>
      <c r="J9" t="s">
        <v>90</v>
      </c>
      <c r="K9" t="str" cm="1">
        <f t="array" ref="K9:L9">_xlfn.XLOOKUP(J9,D:D,G:H)</f>
        <v>N</v>
      </c>
      <c r="L9" t="str">
        <v>Y</v>
      </c>
    </row>
    <row r="10" spans="1:12" x14ac:dyDescent="0.3">
      <c r="A10" t="s">
        <v>126</v>
      </c>
      <c r="B10">
        <v>97823748</v>
      </c>
      <c r="C10">
        <v>89.87</v>
      </c>
      <c r="D10" t="str">
        <f t="shared" si="0"/>
        <v>6134</v>
      </c>
      <c r="E10">
        <f>_xlfn.XLOOKUP(D10,Sheet1!H:H,Sheet1!Q:Q)</f>
        <v>97823748</v>
      </c>
      <c r="F10">
        <f>_xlfn.XLOOKUP(D10,Sheet1!H:H,Sheet1!Y:Y)*100</f>
        <v>89.87</v>
      </c>
      <c r="G10" t="str">
        <f t="shared" si="1"/>
        <v>N</v>
      </c>
      <c r="H10" t="str">
        <f t="shared" si="2"/>
        <v>N</v>
      </c>
      <c r="J10" t="s">
        <v>96</v>
      </c>
      <c r="K10" t="str" cm="1">
        <f t="array" ref="K10:L10">_xlfn.XLOOKUP(J10,D:D,G:H)</f>
        <v>N</v>
      </c>
      <c r="L10" t="str">
        <v>Y</v>
      </c>
    </row>
    <row r="11" spans="1:12" x14ac:dyDescent="0.3">
      <c r="A11" t="s">
        <v>131</v>
      </c>
      <c r="B11">
        <v>1243877184</v>
      </c>
      <c r="C11">
        <v>100</v>
      </c>
      <c r="D11" t="str">
        <f t="shared" si="0"/>
        <v>4901</v>
      </c>
      <c r="E11">
        <f>_xlfn.XLOOKUP(D11,Sheet1!H:H,Sheet1!Q:Q)</f>
        <v>1243877184</v>
      </c>
      <c r="F11">
        <f>_xlfn.XLOOKUP(D11,Sheet1!H:H,Sheet1!Y:Y)*100</f>
        <v>100</v>
      </c>
      <c r="G11" t="str">
        <f t="shared" si="1"/>
        <v>N</v>
      </c>
      <c r="H11" t="str">
        <f t="shared" si="2"/>
        <v>N</v>
      </c>
      <c r="J11" t="s">
        <v>101</v>
      </c>
      <c r="K11" t="s">
        <v>57</v>
      </c>
      <c r="L11" t="s">
        <v>57</v>
      </c>
    </row>
    <row r="12" spans="1:12" x14ac:dyDescent="0.3">
      <c r="A12" t="s">
        <v>136</v>
      </c>
      <c r="B12">
        <v>717335273</v>
      </c>
      <c r="C12">
        <v>78.59</v>
      </c>
      <c r="D12" t="str">
        <f t="shared" si="0"/>
        <v>7270</v>
      </c>
      <c r="E12">
        <f>_xlfn.XLOOKUP(D12,Sheet1!H:H,Sheet1!Q:Q)</f>
        <v>717335273</v>
      </c>
      <c r="F12">
        <f>_xlfn.XLOOKUP(D12,Sheet1!H:H,Sheet1!Y:Y)*100</f>
        <v>78.59</v>
      </c>
      <c r="G12" t="str">
        <f t="shared" si="1"/>
        <v>N</v>
      </c>
      <c r="H12" t="str">
        <f t="shared" si="2"/>
        <v>N</v>
      </c>
      <c r="J12" t="s">
        <v>107</v>
      </c>
      <c r="K12" t="str" cm="1">
        <f t="array" ref="K12:L12">_xlfn.XLOOKUP(J12,D:D,G:H)</f>
        <v>N</v>
      </c>
      <c r="L12" t="str">
        <v>N</v>
      </c>
    </row>
    <row r="13" spans="1:12" x14ac:dyDescent="0.3">
      <c r="A13" t="s">
        <v>142</v>
      </c>
      <c r="B13">
        <v>149296991</v>
      </c>
      <c r="C13">
        <v>100</v>
      </c>
      <c r="D13" t="str">
        <f t="shared" si="0"/>
        <v>6504</v>
      </c>
      <c r="E13">
        <f>_xlfn.XLOOKUP(D13,Sheet1!H:H,Sheet1!Q:Q)</f>
        <v>149296991</v>
      </c>
      <c r="F13">
        <f>_xlfn.XLOOKUP(D13,Sheet1!H:H,Sheet1!Y:Y)*100</f>
        <v>100</v>
      </c>
      <c r="G13" t="str">
        <f t="shared" si="1"/>
        <v>N</v>
      </c>
      <c r="H13" t="str">
        <f t="shared" si="2"/>
        <v>N</v>
      </c>
      <c r="J13" t="s">
        <v>112</v>
      </c>
      <c r="K13" t="str" cm="1">
        <f t="array" ref="K13:L13">_xlfn.XLOOKUP(J13,D:D,G:H)</f>
        <v>N</v>
      </c>
      <c r="L13" t="str">
        <v>N</v>
      </c>
    </row>
    <row r="14" spans="1:12" x14ac:dyDescent="0.3">
      <c r="A14" t="s">
        <v>147</v>
      </c>
      <c r="B14">
        <v>378060179</v>
      </c>
      <c r="C14">
        <v>93.85</v>
      </c>
      <c r="D14" t="str">
        <f t="shared" si="0"/>
        <v>8524</v>
      </c>
      <c r="E14">
        <f>_xlfn.XLOOKUP(D14,Sheet1!H:H,Sheet1!Q:Q)</f>
        <v>378060179</v>
      </c>
      <c r="F14">
        <f>_xlfn.XLOOKUP(D14,Sheet1!H:H,Sheet1!Y:Y)*100</f>
        <v>94.17</v>
      </c>
      <c r="G14" t="str">
        <f t="shared" si="1"/>
        <v>N</v>
      </c>
      <c r="H14" t="str">
        <f t="shared" si="2"/>
        <v>Y</v>
      </c>
      <c r="J14" t="s">
        <v>118</v>
      </c>
      <c r="K14" t="s">
        <v>325</v>
      </c>
      <c r="L14" t="s">
        <v>325</v>
      </c>
    </row>
    <row r="15" spans="1:12" x14ac:dyDescent="0.3">
      <c r="A15" t="s">
        <v>153</v>
      </c>
      <c r="B15">
        <v>318220968</v>
      </c>
      <c r="C15">
        <v>79.84</v>
      </c>
      <c r="D15" t="str">
        <f t="shared" si="0"/>
        <v>9983</v>
      </c>
      <c r="E15">
        <f>_xlfn.XLOOKUP(D15,Sheet1!H:H,Sheet1!Q:Q)</f>
        <v>318220968</v>
      </c>
      <c r="F15">
        <f>_xlfn.XLOOKUP(D15,Sheet1!H:H,Sheet1!Y:Y)*100</f>
        <v>78.8</v>
      </c>
      <c r="G15" t="str">
        <f t="shared" si="1"/>
        <v>N</v>
      </c>
      <c r="H15" t="str">
        <f t="shared" si="2"/>
        <v>Y</v>
      </c>
      <c r="J15" t="s">
        <v>124</v>
      </c>
      <c r="K15" t="str" cm="1">
        <f t="array" ref="K15:L15">_xlfn.XLOOKUP(J15,D:D,G:H)</f>
        <v>N</v>
      </c>
      <c r="L15" t="str">
        <v>N</v>
      </c>
    </row>
    <row r="16" spans="1:12" x14ac:dyDescent="0.3">
      <c r="A16" t="s">
        <v>159</v>
      </c>
      <c r="B16">
        <v>72488740</v>
      </c>
      <c r="C16">
        <v>63.23</v>
      </c>
      <c r="D16" t="str">
        <f t="shared" si="0"/>
        <v>7966</v>
      </c>
      <c r="E16">
        <f>_xlfn.XLOOKUP(D16,Sheet1!H:H,Sheet1!Q:Q)</f>
        <v>72488740</v>
      </c>
      <c r="F16">
        <f>_xlfn.XLOOKUP(D16,Sheet1!H:H,Sheet1!Y:Y)*100</f>
        <v>63.21</v>
      </c>
      <c r="G16" t="str">
        <f t="shared" si="1"/>
        <v>N</v>
      </c>
      <c r="H16" t="str">
        <f t="shared" si="2"/>
        <v>Y</v>
      </c>
      <c r="J16" t="s">
        <v>129</v>
      </c>
      <c r="K16" t="str" cm="1">
        <f t="array" ref="K16:L16">_xlfn.XLOOKUP(J16,D:D,G:H)</f>
        <v>N</v>
      </c>
      <c r="L16" t="str">
        <v>N</v>
      </c>
    </row>
    <row r="17" spans="1:12" x14ac:dyDescent="0.3">
      <c r="A17" t="s">
        <v>165</v>
      </c>
      <c r="B17">
        <v>68468569</v>
      </c>
      <c r="C17">
        <v>86.2</v>
      </c>
      <c r="D17" t="str">
        <f t="shared" si="0"/>
        <v>2206</v>
      </c>
      <c r="E17">
        <f>_xlfn.XLOOKUP(D17,Sheet1!H:H,Sheet1!Q:Q)</f>
        <v>68468569</v>
      </c>
      <c r="F17">
        <f>_xlfn.XLOOKUP(D17,Sheet1!H:H,Sheet1!Y:Y)*100</f>
        <v>77.86999999999999</v>
      </c>
      <c r="G17" t="str">
        <f t="shared" si="1"/>
        <v>N</v>
      </c>
      <c r="H17" t="str">
        <f t="shared" si="2"/>
        <v>Y</v>
      </c>
      <c r="J17" t="s">
        <v>134</v>
      </c>
      <c r="K17" t="str" cm="1">
        <f t="array" ref="K17:L17">_xlfn.XLOOKUP(J17,D:D,G:H)</f>
        <v>N</v>
      </c>
      <c r="L17" t="str">
        <v>N</v>
      </c>
    </row>
    <row r="18" spans="1:12" x14ac:dyDescent="0.3">
      <c r="A18" t="s">
        <v>171</v>
      </c>
      <c r="B18">
        <v>88555840</v>
      </c>
      <c r="C18">
        <v>100</v>
      </c>
      <c r="D18" t="str">
        <f t="shared" si="0"/>
        <v>4061</v>
      </c>
      <c r="E18">
        <f>_xlfn.XLOOKUP(D18,Sheet1!H:H,Sheet1!Q:Q)</f>
        <v>88555840</v>
      </c>
      <c r="F18">
        <f>_xlfn.XLOOKUP(D18,Sheet1!H:H,Sheet1!Y:Y)*100</f>
        <v>100</v>
      </c>
      <c r="G18" t="str">
        <f t="shared" si="1"/>
        <v>N</v>
      </c>
      <c r="H18" t="str">
        <f t="shared" si="2"/>
        <v>N</v>
      </c>
      <c r="J18" t="s">
        <v>140</v>
      </c>
      <c r="K18" t="str" cm="1">
        <f t="array" ref="K18:L18">_xlfn.XLOOKUP(J18,D:D,G:H)</f>
        <v>N</v>
      </c>
      <c r="L18" t="str">
        <v>N</v>
      </c>
    </row>
    <row r="19" spans="1:12" x14ac:dyDescent="0.3">
      <c r="A19" t="s">
        <v>182</v>
      </c>
      <c r="B19">
        <v>367594788</v>
      </c>
      <c r="C19">
        <v>75.040000000000006</v>
      </c>
      <c r="D19" t="str">
        <f t="shared" si="0"/>
        <v>9684</v>
      </c>
      <c r="E19">
        <f>_xlfn.XLOOKUP(D19,Sheet1!H:H,Sheet1!Q:Q)</f>
        <v>367594788</v>
      </c>
      <c r="F19">
        <f>_xlfn.XLOOKUP(D19,Sheet1!H:H,Sheet1!Y:Y)*100</f>
        <v>75.2</v>
      </c>
      <c r="G19" t="str">
        <f t="shared" si="1"/>
        <v>N</v>
      </c>
      <c r="H19" t="str">
        <f t="shared" si="2"/>
        <v>Y</v>
      </c>
      <c r="J19" t="s">
        <v>145</v>
      </c>
      <c r="K19" t="str" cm="1">
        <f t="array" ref="K19:L19">_xlfn.XLOOKUP(J19,D:D,G:H)</f>
        <v>N</v>
      </c>
      <c r="L19" t="str">
        <v>Y</v>
      </c>
    </row>
    <row r="20" spans="1:12" x14ac:dyDescent="0.3">
      <c r="A20" t="s">
        <v>187</v>
      </c>
      <c r="B20">
        <v>291649149</v>
      </c>
      <c r="C20">
        <v>100</v>
      </c>
      <c r="D20" t="str">
        <f t="shared" si="0"/>
        <v>4523</v>
      </c>
      <c r="E20">
        <f>_xlfn.XLOOKUP(D20,Sheet1!H:H,Sheet1!Q:Q)</f>
        <v>291649149</v>
      </c>
      <c r="F20">
        <f>_xlfn.XLOOKUP(D20,Sheet1!H:H,Sheet1!Y:Y)*100</f>
        <v>100</v>
      </c>
      <c r="G20" t="str">
        <f t="shared" si="1"/>
        <v>N</v>
      </c>
      <c r="H20" t="str">
        <f t="shared" si="2"/>
        <v>N</v>
      </c>
      <c r="J20" t="s">
        <v>151</v>
      </c>
      <c r="K20" t="str" cm="1">
        <f t="array" ref="K20:L20">_xlfn.XLOOKUP(J20,D:D,G:H)</f>
        <v>N</v>
      </c>
      <c r="L20" t="str">
        <v>Y</v>
      </c>
    </row>
    <row r="21" spans="1:12" x14ac:dyDescent="0.3">
      <c r="A21" t="s">
        <v>192</v>
      </c>
      <c r="B21">
        <v>457199185</v>
      </c>
      <c r="C21">
        <v>100</v>
      </c>
      <c r="D21" t="str">
        <f t="shared" si="0"/>
        <v>6361</v>
      </c>
      <c r="E21">
        <f>_xlfn.XLOOKUP(D21,Sheet1!H:H,Sheet1!Q:Q)</f>
        <v>457262685</v>
      </c>
      <c r="F21">
        <f>_xlfn.XLOOKUP(D21,Sheet1!H:H,Sheet1!Y:Y)*100</f>
        <v>100</v>
      </c>
      <c r="G21" t="str">
        <f t="shared" si="1"/>
        <v>Y</v>
      </c>
      <c r="H21" t="str">
        <f t="shared" si="2"/>
        <v>N</v>
      </c>
      <c r="J21" t="s">
        <v>157</v>
      </c>
      <c r="K21" t="str" cm="1">
        <f t="array" ref="K21:L21">_xlfn.XLOOKUP(J21,D:D,G:H)</f>
        <v>N</v>
      </c>
      <c r="L21" t="str">
        <v>Y</v>
      </c>
    </row>
    <row r="22" spans="1:12" x14ac:dyDescent="0.3">
      <c r="A22" t="s">
        <v>198</v>
      </c>
      <c r="B22">
        <v>1134412200</v>
      </c>
      <c r="C22">
        <v>100</v>
      </c>
      <c r="D22" t="str">
        <f t="shared" si="0"/>
        <v>9020</v>
      </c>
      <c r="E22">
        <f>_xlfn.XLOOKUP(D22,Sheet1!H:H,Sheet1!Q:Q)</f>
        <v>1134412200</v>
      </c>
      <c r="F22">
        <f>_xlfn.XLOOKUP(D22,Sheet1!H:H,Sheet1!Y:Y)*100</f>
        <v>100</v>
      </c>
      <c r="G22" t="str">
        <f t="shared" si="1"/>
        <v>N</v>
      </c>
      <c r="H22" t="str">
        <f t="shared" si="2"/>
        <v>N</v>
      </c>
      <c r="J22" t="s">
        <v>163</v>
      </c>
      <c r="K22" t="str" cm="1">
        <f t="array" ref="K22:L22">_xlfn.XLOOKUP(J22,D:D,G:H)</f>
        <v>N</v>
      </c>
      <c r="L22" t="str">
        <v>Y</v>
      </c>
    </row>
    <row r="23" spans="1:12" x14ac:dyDescent="0.3">
      <c r="A23" t="s">
        <v>203</v>
      </c>
      <c r="B23">
        <v>247618938</v>
      </c>
      <c r="C23">
        <v>40.57</v>
      </c>
      <c r="D23" t="str">
        <f t="shared" si="0"/>
        <v>2670</v>
      </c>
      <c r="E23">
        <f>_xlfn.XLOOKUP(D23,Sheet1!H:H,Sheet1!Q:Q)</f>
        <v>247618938</v>
      </c>
      <c r="F23">
        <f>_xlfn.XLOOKUP(D23,Sheet1!H:H,Sheet1!Y:Y)*100</f>
        <v>40.57</v>
      </c>
      <c r="G23" t="str">
        <f t="shared" si="1"/>
        <v>N</v>
      </c>
      <c r="H23" t="str">
        <f t="shared" si="2"/>
        <v>N</v>
      </c>
      <c r="J23" t="s">
        <v>169</v>
      </c>
      <c r="K23" t="str" cm="1">
        <f t="array" ref="K23:L23">_xlfn.XLOOKUP(J23,D:D,G:H)</f>
        <v>N</v>
      </c>
      <c r="L23" t="str">
        <v>N</v>
      </c>
    </row>
    <row r="24" spans="1:12" x14ac:dyDescent="0.3">
      <c r="A24" t="s">
        <v>208</v>
      </c>
      <c r="B24">
        <v>297681264</v>
      </c>
      <c r="C24">
        <v>52.32</v>
      </c>
      <c r="D24" t="str">
        <f t="shared" si="0"/>
        <v>9412</v>
      </c>
      <c r="E24">
        <f>_xlfn.XLOOKUP(D24,Sheet1!H:H,Sheet1!Q:Q)</f>
        <v>297681264</v>
      </c>
      <c r="F24">
        <f>_xlfn.XLOOKUP(D24,Sheet1!H:H,Sheet1!Y:Y)*100</f>
        <v>50.77</v>
      </c>
      <c r="G24" t="str">
        <f t="shared" si="1"/>
        <v>N</v>
      </c>
      <c r="H24" t="str">
        <f t="shared" si="2"/>
        <v>Y</v>
      </c>
      <c r="J24" t="s">
        <v>174</v>
      </c>
      <c r="K24" t="s">
        <v>57</v>
      </c>
      <c r="L24" t="s">
        <v>325</v>
      </c>
    </row>
    <row r="25" spans="1:12" x14ac:dyDescent="0.3">
      <c r="A25" t="s">
        <v>214</v>
      </c>
      <c r="B25">
        <v>108529000</v>
      </c>
      <c r="C25">
        <v>56.08</v>
      </c>
      <c r="D25" t="str">
        <f t="shared" si="0"/>
        <v>9409</v>
      </c>
      <c r="E25">
        <f>_xlfn.XLOOKUP(D25,Sheet1!H:H,Sheet1!Q:Q)</f>
        <v>108529000</v>
      </c>
      <c r="F25">
        <f>_xlfn.XLOOKUP(D25,Sheet1!H:H,Sheet1!Y:Y)*100</f>
        <v>56.04</v>
      </c>
      <c r="G25" t="str">
        <f t="shared" si="1"/>
        <v>N</v>
      </c>
      <c r="H25" t="str">
        <f t="shared" si="2"/>
        <v>Y</v>
      </c>
      <c r="J25" t="s">
        <v>180</v>
      </c>
      <c r="K25" t="str" cm="1">
        <f t="array" ref="K25:L25">_xlfn.XLOOKUP(J25,D:D,G:H)</f>
        <v>N</v>
      </c>
      <c r="L25" t="str">
        <v>Y</v>
      </c>
    </row>
    <row r="26" spans="1:12" x14ac:dyDescent="0.3">
      <c r="A26" t="s">
        <v>219</v>
      </c>
      <c r="B26">
        <v>146500000</v>
      </c>
      <c r="C26">
        <v>78.08</v>
      </c>
      <c r="D26" t="str">
        <f t="shared" si="0"/>
        <v>3050</v>
      </c>
      <c r="E26">
        <f>_xlfn.XLOOKUP(D26,Sheet1!H:H,Sheet1!Q:Q)</f>
        <v>146500000</v>
      </c>
      <c r="F26">
        <f>_xlfn.XLOOKUP(D26,Sheet1!H:H,Sheet1!Y:Y)*100</f>
        <v>78.259999999999991</v>
      </c>
      <c r="G26" t="str">
        <f t="shared" si="1"/>
        <v>N</v>
      </c>
      <c r="H26" t="str">
        <f t="shared" si="2"/>
        <v>Y</v>
      </c>
      <c r="J26" t="s">
        <v>185</v>
      </c>
      <c r="K26" t="str" cm="1">
        <f t="array" ref="K26:L26">_xlfn.XLOOKUP(J26,D:D,G:H)</f>
        <v>N</v>
      </c>
      <c r="L26" t="str">
        <v>N</v>
      </c>
    </row>
    <row r="27" spans="1:12" x14ac:dyDescent="0.3">
      <c r="A27" t="s">
        <v>225</v>
      </c>
      <c r="B27">
        <v>61989206</v>
      </c>
      <c r="C27">
        <v>94.45</v>
      </c>
      <c r="D27" t="str">
        <f t="shared" si="0"/>
        <v>5714</v>
      </c>
      <c r="E27">
        <f>_xlfn.XLOOKUP(D27,Sheet1!H:H,Sheet1!Q:Q)</f>
        <v>61989206</v>
      </c>
      <c r="F27">
        <f>_xlfn.XLOOKUP(D27,Sheet1!H:H,Sheet1!Y:Y)*100</f>
        <v>94.45</v>
      </c>
      <c r="G27" t="str">
        <f t="shared" si="1"/>
        <v>N</v>
      </c>
      <c r="H27" t="str">
        <f t="shared" si="2"/>
        <v>N</v>
      </c>
      <c r="J27" t="s">
        <v>190</v>
      </c>
      <c r="K27" t="str" cm="1">
        <f t="array" ref="K27:L27">_xlfn.XLOOKUP(J27,D:D,G:H)</f>
        <v>Y</v>
      </c>
      <c r="L27" t="str">
        <v>N</v>
      </c>
    </row>
    <row r="28" spans="1:12" x14ac:dyDescent="0.3">
      <c r="A28" t="s">
        <v>231</v>
      </c>
      <c r="B28">
        <v>92218200</v>
      </c>
      <c r="C28">
        <v>90.06</v>
      </c>
      <c r="D28" t="str">
        <f t="shared" si="0"/>
        <v>7716</v>
      </c>
      <c r="E28">
        <f>_xlfn.XLOOKUP(D28,Sheet1!H:H,Sheet1!Q:Q)</f>
        <v>92218200</v>
      </c>
      <c r="F28">
        <f>_xlfn.XLOOKUP(D28,Sheet1!H:H,Sheet1!Y:Y)*100</f>
        <v>90.05</v>
      </c>
      <c r="G28" t="str">
        <f t="shared" si="1"/>
        <v>N</v>
      </c>
      <c r="H28" t="str">
        <f t="shared" si="2"/>
        <v>Y</v>
      </c>
      <c r="J28" t="s">
        <v>196</v>
      </c>
      <c r="K28" t="str" cm="1">
        <f t="array" ref="K28:L28">_xlfn.XLOOKUP(J28,D:D,G:H)</f>
        <v>N</v>
      </c>
      <c r="L28" t="str">
        <v>N</v>
      </c>
    </row>
    <row r="29" spans="1:12" x14ac:dyDescent="0.3">
      <c r="A29" t="s">
        <v>237</v>
      </c>
      <c r="B29">
        <v>108478029</v>
      </c>
      <c r="C29">
        <v>89.34</v>
      </c>
      <c r="D29" t="str">
        <f t="shared" si="0"/>
        <v>6146</v>
      </c>
      <c r="E29">
        <f>_xlfn.XLOOKUP(D29,Sheet1!H:H,Sheet1!Q:Q)</f>
        <v>108478029</v>
      </c>
      <c r="F29">
        <f>_xlfn.XLOOKUP(D29,Sheet1!H:H,Sheet1!Y:Y)*100</f>
        <v>89.34</v>
      </c>
      <c r="G29" t="str">
        <f t="shared" si="1"/>
        <v>N</v>
      </c>
      <c r="H29" t="str">
        <f t="shared" si="2"/>
        <v>N</v>
      </c>
      <c r="J29" t="s">
        <v>201</v>
      </c>
      <c r="K29" t="str" cm="1">
        <f t="array" ref="K29:L29">_xlfn.XLOOKUP(J29,D:D,G:H)</f>
        <v>N</v>
      </c>
      <c r="L29" t="str">
        <v>N</v>
      </c>
    </row>
    <row r="30" spans="1:12" x14ac:dyDescent="0.3">
      <c r="A30" t="s">
        <v>242</v>
      </c>
      <c r="B30">
        <v>3177296700</v>
      </c>
      <c r="C30">
        <v>62.56</v>
      </c>
      <c r="D30" t="str">
        <f t="shared" si="0"/>
        <v>7532</v>
      </c>
      <c r="E30">
        <f>_xlfn.XLOOKUP(D30,Sheet1!H:H,Sheet1!Q:Q)</f>
        <v>3177296700</v>
      </c>
      <c r="F30">
        <f>_xlfn.XLOOKUP(D30,Sheet1!H:H,Sheet1!Y:Y)*100</f>
        <v>62.51</v>
      </c>
      <c r="G30" t="str">
        <f t="shared" si="1"/>
        <v>N</v>
      </c>
      <c r="H30" t="str">
        <f t="shared" si="2"/>
        <v>Y</v>
      </c>
      <c r="J30" t="s">
        <v>206</v>
      </c>
      <c r="K30" t="str" cm="1">
        <f t="array" ref="K30:L30">_xlfn.XLOOKUP(J30,D:D,G:H)</f>
        <v>N</v>
      </c>
      <c r="L30" t="str">
        <v>Y</v>
      </c>
    </row>
    <row r="31" spans="1:12" x14ac:dyDescent="0.3">
      <c r="A31" t="s">
        <v>248</v>
      </c>
      <c r="B31">
        <v>1466912244</v>
      </c>
      <c r="C31">
        <v>67.8</v>
      </c>
      <c r="D31" t="str">
        <f t="shared" si="0"/>
        <v>8593</v>
      </c>
      <c r="E31">
        <f>_xlfn.XLOOKUP(D31,Sheet1!H:H,Sheet1!Q:Q)</f>
        <v>1466912244</v>
      </c>
      <c r="F31">
        <f>_xlfn.XLOOKUP(D31,Sheet1!H:H,Sheet1!Y:Y)*100</f>
        <v>67.800000000000011</v>
      </c>
      <c r="G31" t="str">
        <f t="shared" si="1"/>
        <v>N</v>
      </c>
      <c r="H31" t="str">
        <f t="shared" si="2"/>
        <v>N</v>
      </c>
      <c r="J31" t="s">
        <v>212</v>
      </c>
      <c r="K31" t="str" cm="1">
        <f t="array" ref="K31:L31">_xlfn.XLOOKUP(J31,D:D,G:H)</f>
        <v>N</v>
      </c>
      <c r="L31" t="str">
        <v>Y</v>
      </c>
    </row>
    <row r="32" spans="1:12" x14ac:dyDescent="0.3">
      <c r="A32" t="s">
        <v>253</v>
      </c>
      <c r="B32">
        <v>380004240</v>
      </c>
      <c r="C32">
        <v>66.53</v>
      </c>
      <c r="D32" t="str">
        <f t="shared" si="0"/>
        <v>4768</v>
      </c>
      <c r="E32">
        <f>_xlfn.XLOOKUP(D32,Sheet1!H:H,Sheet1!Q:Q)</f>
        <v>380004240</v>
      </c>
      <c r="F32">
        <f>_xlfn.XLOOKUP(D32,Sheet1!H:H,Sheet1!Y:Y)*100</f>
        <v>66.53</v>
      </c>
      <c r="G32" t="str">
        <f t="shared" si="1"/>
        <v>N</v>
      </c>
      <c r="H32" t="str">
        <f t="shared" si="2"/>
        <v>N</v>
      </c>
      <c r="J32" t="s">
        <v>217</v>
      </c>
      <c r="K32" t="str" cm="1">
        <f t="array" ref="K32:L32">_xlfn.XLOOKUP(J32,D:D,G:H)</f>
        <v>N</v>
      </c>
      <c r="L32" t="str">
        <v>Y</v>
      </c>
    </row>
    <row r="33" spans="1:12" x14ac:dyDescent="0.3">
      <c r="A33" t="s">
        <v>258</v>
      </c>
      <c r="B33">
        <v>48000000</v>
      </c>
      <c r="C33">
        <v>94.62</v>
      </c>
      <c r="D33" t="str">
        <f t="shared" si="0"/>
        <v>9793</v>
      </c>
      <c r="E33">
        <f>_xlfn.XLOOKUP(D33,Sheet1!H:H,Sheet1!Q:Q)</f>
        <v>48000000</v>
      </c>
      <c r="F33">
        <f>_xlfn.XLOOKUP(D33,Sheet1!H:H,Sheet1!Y:Y)*100</f>
        <v>94.62</v>
      </c>
      <c r="G33" t="str">
        <f t="shared" si="1"/>
        <v>N</v>
      </c>
      <c r="H33" t="str">
        <f t="shared" si="2"/>
        <v>N</v>
      </c>
      <c r="J33" t="s">
        <v>223</v>
      </c>
      <c r="K33" t="str" cm="1">
        <f t="array" ref="K33:L33">_xlfn.XLOOKUP(J33,D:D,G:H)</f>
        <v>N</v>
      </c>
      <c r="L33" t="str">
        <v>N</v>
      </c>
    </row>
    <row r="34" spans="1:12" x14ac:dyDescent="0.3">
      <c r="A34" t="s">
        <v>269</v>
      </c>
      <c r="B34">
        <v>163954928</v>
      </c>
      <c r="C34">
        <v>92.76</v>
      </c>
      <c r="D34" t="str">
        <f t="shared" si="0"/>
        <v>9682</v>
      </c>
      <c r="E34">
        <f>_xlfn.XLOOKUP(D34,Sheet1!H:H,Sheet1!Q:Q)</f>
        <v>163954928</v>
      </c>
      <c r="F34">
        <f>_xlfn.XLOOKUP(D34,Sheet1!H:H,Sheet1!Y:Y)*100</f>
        <v>92.759999999999991</v>
      </c>
      <c r="G34" t="str">
        <f t="shared" si="1"/>
        <v>N</v>
      </c>
      <c r="H34" t="str">
        <f t="shared" si="2"/>
        <v>N</v>
      </c>
      <c r="J34" t="s">
        <v>229</v>
      </c>
      <c r="K34" t="str" cm="1">
        <f t="array" ref="K34:L34">_xlfn.XLOOKUP(J34,D:D,G:H)</f>
        <v>N</v>
      </c>
      <c r="L34" t="str">
        <v>Y</v>
      </c>
    </row>
    <row r="35" spans="1:12" x14ac:dyDescent="0.3">
      <c r="A35" t="s">
        <v>274</v>
      </c>
      <c r="B35">
        <v>1569378772</v>
      </c>
      <c r="C35">
        <v>88.29</v>
      </c>
      <c r="D35" t="str">
        <f t="shared" si="0"/>
        <v>8601</v>
      </c>
      <c r="E35">
        <f>_xlfn.XLOOKUP(D35,Sheet1!H:H,Sheet1!Q:Q)</f>
        <v>1569378772</v>
      </c>
      <c r="F35">
        <f>_xlfn.XLOOKUP(D35,Sheet1!H:H,Sheet1!Y:Y)*100</f>
        <v>88</v>
      </c>
      <c r="G35" t="str">
        <f t="shared" si="1"/>
        <v>N</v>
      </c>
      <c r="H35" t="str">
        <f t="shared" si="2"/>
        <v>Y</v>
      </c>
      <c r="J35" t="s">
        <v>235</v>
      </c>
      <c r="K35" t="str" cm="1">
        <f t="array" ref="K35:L35">_xlfn.XLOOKUP(J35,D:D,G:H)</f>
        <v>N</v>
      </c>
      <c r="L35" t="str">
        <v>N</v>
      </c>
    </row>
    <row r="36" spans="1:12" x14ac:dyDescent="0.3">
      <c r="A36" t="s">
        <v>279</v>
      </c>
      <c r="B36">
        <v>88479028</v>
      </c>
      <c r="C36">
        <v>100</v>
      </c>
      <c r="D36" t="str">
        <f t="shared" si="0"/>
        <v>3107</v>
      </c>
      <c r="E36">
        <f>_xlfn.XLOOKUP(D36,Sheet1!H:H,Sheet1!Q:Q)</f>
        <v>88479028</v>
      </c>
      <c r="F36">
        <f>_xlfn.XLOOKUP(D36,Sheet1!H:H,Sheet1!Y:Y)*100</f>
        <v>100</v>
      </c>
      <c r="G36" t="str">
        <f t="shared" si="1"/>
        <v>N</v>
      </c>
      <c r="H36" t="str">
        <f t="shared" si="2"/>
        <v>N</v>
      </c>
      <c r="J36" t="s">
        <v>240</v>
      </c>
      <c r="K36" t="str" cm="1">
        <f t="array" ref="K36:L36">_xlfn.XLOOKUP(J36,D:D,G:H)</f>
        <v>N</v>
      </c>
      <c r="L36" t="str">
        <v>Y</v>
      </c>
    </row>
    <row r="37" spans="1:12" x14ac:dyDescent="0.3">
      <c r="A37" t="s">
        <v>285</v>
      </c>
      <c r="B37">
        <v>659636182</v>
      </c>
      <c r="C37">
        <v>93.89</v>
      </c>
      <c r="D37" t="str">
        <f t="shared" si="0"/>
        <v>1925</v>
      </c>
      <c r="E37">
        <f>_xlfn.XLOOKUP(D37,Sheet1!H:H,Sheet1!Q:Q)</f>
        <v>659636182</v>
      </c>
      <c r="F37">
        <f>_xlfn.XLOOKUP(D37,Sheet1!H:H,Sheet1!Y:Y)*100</f>
        <v>93.89</v>
      </c>
      <c r="G37" t="str">
        <f t="shared" si="1"/>
        <v>N</v>
      </c>
      <c r="H37" t="str">
        <f t="shared" si="2"/>
        <v>N</v>
      </c>
      <c r="J37" t="s">
        <v>246</v>
      </c>
      <c r="K37" t="str" cm="1">
        <f t="array" ref="K37:L37">_xlfn.XLOOKUP(J37,D:D,G:H)</f>
        <v>N</v>
      </c>
      <c r="L37" t="str">
        <v>N</v>
      </c>
    </row>
    <row r="38" spans="1:12" x14ac:dyDescent="0.3">
      <c r="A38" t="s">
        <v>290</v>
      </c>
      <c r="B38">
        <v>2307136666</v>
      </c>
      <c r="C38">
        <v>100</v>
      </c>
      <c r="D38" t="str">
        <f t="shared" si="0"/>
        <v>8308</v>
      </c>
      <c r="E38">
        <f>_xlfn.XLOOKUP(D38,Sheet1!H:H,Sheet1!Q:Q)</f>
        <v>2307136666</v>
      </c>
      <c r="F38">
        <f>_xlfn.XLOOKUP(D38,Sheet1!H:H,Sheet1!Y:Y)*100</f>
        <v>100</v>
      </c>
      <c r="G38" t="str">
        <f t="shared" si="1"/>
        <v>N</v>
      </c>
      <c r="H38" t="str">
        <f t="shared" si="2"/>
        <v>N</v>
      </c>
      <c r="J38" t="s">
        <v>251</v>
      </c>
      <c r="K38" t="str" cm="1">
        <f t="array" ref="K38:L38">_xlfn.XLOOKUP(J38,D:D,G:H)</f>
        <v>N</v>
      </c>
      <c r="L38" t="str">
        <v>N</v>
      </c>
    </row>
    <row r="39" spans="1:12" x14ac:dyDescent="0.3">
      <c r="A39" t="s">
        <v>296</v>
      </c>
      <c r="B39">
        <v>275657868</v>
      </c>
      <c r="C39">
        <v>100</v>
      </c>
      <c r="D39" t="str">
        <f t="shared" si="0"/>
        <v>7327</v>
      </c>
      <c r="E39">
        <f>_xlfn.XLOOKUP(D39,Sheet1!H:H,Sheet1!Q:Q)</f>
        <v>275657868</v>
      </c>
      <c r="F39">
        <f>_xlfn.XLOOKUP(D39,Sheet1!H:H,Sheet1!Y:Y)*100</f>
        <v>100</v>
      </c>
      <c r="G39" t="str">
        <f t="shared" si="1"/>
        <v>N</v>
      </c>
      <c r="H39" t="str">
        <f t="shared" si="2"/>
        <v>N</v>
      </c>
      <c r="J39" t="s">
        <v>256</v>
      </c>
      <c r="K39" t="str" cm="1">
        <f t="array" ref="K39:L39">_xlfn.XLOOKUP(J39,D:D,G:H)</f>
        <v>N</v>
      </c>
      <c r="L39" t="str">
        <v>N</v>
      </c>
    </row>
    <row r="40" spans="1:12" x14ac:dyDescent="0.3">
      <c r="A40" t="s">
        <v>301</v>
      </c>
      <c r="B40">
        <v>190759972</v>
      </c>
      <c r="C40">
        <v>100</v>
      </c>
      <c r="D40" t="str">
        <f t="shared" si="0"/>
        <v>7735</v>
      </c>
      <c r="E40">
        <f>_xlfn.XLOOKUP(D40,Sheet1!H:H,Sheet1!Q:Q)</f>
        <v>190759972</v>
      </c>
      <c r="F40">
        <f>_xlfn.XLOOKUP(D40,Sheet1!H:H,Sheet1!Y:Y)*100</f>
        <v>100</v>
      </c>
      <c r="G40" t="str">
        <f t="shared" si="1"/>
        <v>N</v>
      </c>
      <c r="H40" t="str">
        <f t="shared" si="2"/>
        <v>N</v>
      </c>
      <c r="J40" t="s">
        <v>261</v>
      </c>
      <c r="K40" t="s">
        <v>325</v>
      </c>
      <c r="L40" t="s">
        <v>325</v>
      </c>
    </row>
    <row r="41" spans="1:12" x14ac:dyDescent="0.3">
      <c r="A41" t="s">
        <v>306</v>
      </c>
      <c r="B41">
        <v>439480692</v>
      </c>
      <c r="C41">
        <v>100</v>
      </c>
      <c r="D41" t="str">
        <f t="shared" si="0"/>
        <v>7912</v>
      </c>
      <c r="E41">
        <f>_xlfn.XLOOKUP(D41,Sheet1!H:H,Sheet1!Q:Q)</f>
        <v>439480692</v>
      </c>
      <c r="F41">
        <f>_xlfn.XLOOKUP(D41,Sheet1!H:H,Sheet1!Y:Y)*100</f>
        <v>82.71</v>
      </c>
      <c r="G41" t="str">
        <f t="shared" si="1"/>
        <v>N</v>
      </c>
      <c r="H41" t="str">
        <f t="shared" si="2"/>
        <v>Y</v>
      </c>
      <c r="J41" t="s">
        <v>267</v>
      </c>
      <c r="K41" t="str" cm="1">
        <f t="array" ref="K41:L41">_xlfn.XLOOKUP(J41,D:D,G:H)</f>
        <v>N</v>
      </c>
      <c r="L41" t="str">
        <v>N</v>
      </c>
    </row>
    <row r="42" spans="1:12" x14ac:dyDescent="0.3">
      <c r="A42" t="s">
        <v>312</v>
      </c>
      <c r="B42">
        <v>456900154</v>
      </c>
      <c r="C42">
        <v>54.99</v>
      </c>
      <c r="D42" t="str">
        <f t="shared" si="0"/>
        <v>4506</v>
      </c>
      <c r="E42">
        <f>_xlfn.XLOOKUP(D42,Sheet1!H:H,Sheet1!Q:Q)</f>
        <v>456900154</v>
      </c>
      <c r="F42">
        <f>_xlfn.XLOOKUP(D42,Sheet1!H:H,Sheet1!Y:Y)*100</f>
        <v>48.32</v>
      </c>
      <c r="G42" t="str">
        <f t="shared" si="1"/>
        <v>N</v>
      </c>
      <c r="H42" t="str">
        <f t="shared" si="2"/>
        <v>Y</v>
      </c>
      <c r="J42" t="s">
        <v>272</v>
      </c>
      <c r="K42" t="str" cm="1">
        <f t="array" ref="K42:L42">_xlfn.XLOOKUP(J42,D:D,G:H)</f>
        <v>N</v>
      </c>
      <c r="L42" t="str">
        <v>Y</v>
      </c>
    </row>
    <row r="43" spans="1:12" x14ac:dyDescent="0.3">
      <c r="A43" t="s">
        <v>318</v>
      </c>
      <c r="B43">
        <v>95156904</v>
      </c>
      <c r="C43">
        <v>86.66</v>
      </c>
      <c r="D43" t="str">
        <f t="shared" si="0"/>
        <v>4631</v>
      </c>
      <c r="E43">
        <f>_xlfn.XLOOKUP(D43,Sheet1!H:H,Sheet1!Q:Q)</f>
        <v>95156904</v>
      </c>
      <c r="F43">
        <f>_xlfn.XLOOKUP(D43,Sheet1!H:H,Sheet1!Y:Y)*100</f>
        <v>86.66</v>
      </c>
      <c r="G43" t="str">
        <f t="shared" si="1"/>
        <v>N</v>
      </c>
      <c r="H43" t="str">
        <f t="shared" si="2"/>
        <v>N</v>
      </c>
      <c r="J43" t="s">
        <v>277</v>
      </c>
      <c r="K43" t="str" cm="1">
        <f t="array" ref="K43:L43">_xlfn.XLOOKUP(J43,D:D,G:H)</f>
        <v>N</v>
      </c>
      <c r="L43" t="str">
        <v>N</v>
      </c>
    </row>
    <row r="44" spans="1:12" x14ac:dyDescent="0.3">
      <c r="A44" t="s">
        <v>103</v>
      </c>
      <c r="B44">
        <v>982272430</v>
      </c>
      <c r="C44">
        <v>100</v>
      </c>
      <c r="D44" t="str">
        <f t="shared" si="0"/>
        <v>6954</v>
      </c>
      <c r="E44">
        <f>_xlfn.XLOOKUP(D44,Sheet1!H:H,Sheet1!Q:Q)</f>
        <v>982272430</v>
      </c>
      <c r="F44">
        <f>_xlfn.XLOOKUP(D44,Sheet1!H:H,Sheet1!Y:Y)*100</f>
        <v>94.99</v>
      </c>
      <c r="G44" t="str">
        <f t="shared" si="1"/>
        <v>N</v>
      </c>
      <c r="H44" t="str">
        <f t="shared" si="2"/>
        <v>Y</v>
      </c>
      <c r="J44" t="s">
        <v>283</v>
      </c>
      <c r="K44" t="str" cm="1">
        <f t="array" ref="K44:L44">_xlfn.XLOOKUP(J44,D:D,G:H)</f>
        <v>N</v>
      </c>
      <c r="L44" t="str">
        <v>N</v>
      </c>
    </row>
    <row r="45" spans="1:12" x14ac:dyDescent="0.3">
      <c r="A45" t="s">
        <v>176</v>
      </c>
      <c r="B45">
        <v>661122614</v>
      </c>
      <c r="C45">
        <v>83.66</v>
      </c>
      <c r="D45" t="str">
        <f t="shared" si="0"/>
        <v>8473</v>
      </c>
      <c r="E45">
        <f>_xlfn.XLOOKUP(D45,Sheet1!H:H,Sheet1!Q:Q)</f>
        <v>661122614</v>
      </c>
      <c r="F45">
        <f>_xlfn.XLOOKUP(D45,Sheet1!H:H,Sheet1!Y:Y)*100</f>
        <v>83.66</v>
      </c>
      <c r="G45" t="str">
        <f t="shared" si="1"/>
        <v>N</v>
      </c>
      <c r="H45" t="str">
        <f t="shared" si="2"/>
        <v>N</v>
      </c>
      <c r="J45" t="s">
        <v>288</v>
      </c>
      <c r="K45" t="str" cm="1">
        <f t="array" ref="K45:L45">_xlfn.XLOOKUP(J45,D:D,G:H)</f>
        <v>N</v>
      </c>
      <c r="L45" t="str">
        <v>N</v>
      </c>
    </row>
    <row r="46" spans="1:12" x14ac:dyDescent="0.3">
      <c r="A46" t="s">
        <v>76</v>
      </c>
      <c r="B46">
        <v>58938210</v>
      </c>
      <c r="C46">
        <v>91.31</v>
      </c>
      <c r="D46" t="str">
        <f t="shared" si="0"/>
        <v>6457</v>
      </c>
      <c r="E46">
        <f>_xlfn.XLOOKUP(D46,Sheet1!H:H,Sheet1!Q:Q)</f>
        <v>58938210</v>
      </c>
      <c r="F46">
        <f>_xlfn.XLOOKUP(D46,Sheet1!H:H,Sheet1!Y:Y)*100</f>
        <v>89.98</v>
      </c>
      <c r="G46" t="str">
        <f t="shared" si="1"/>
        <v>N</v>
      </c>
      <c r="H46" t="str">
        <f t="shared" si="2"/>
        <v>Y</v>
      </c>
      <c r="J46" t="s">
        <v>294</v>
      </c>
      <c r="K46" t="str" cm="1">
        <f t="array" ref="K46:L46">_xlfn.XLOOKUP(J46,D:D,G:H)</f>
        <v>N</v>
      </c>
      <c r="L46" t="str">
        <v>N</v>
      </c>
    </row>
    <row r="47" spans="1:12" x14ac:dyDescent="0.3">
      <c r="J47" t="s">
        <v>299</v>
      </c>
      <c r="K47" t="str" cm="1">
        <f t="array" ref="K47:L47">_xlfn.XLOOKUP(J47,D:D,G:H)</f>
        <v>N</v>
      </c>
      <c r="L47" t="str">
        <v>N</v>
      </c>
    </row>
    <row r="48" spans="1:12" x14ac:dyDescent="0.3">
      <c r="J48" t="s">
        <v>304</v>
      </c>
      <c r="K48" t="str" cm="1">
        <f t="array" ref="K48:L48">_xlfn.XLOOKUP(J48,D:D,G:H)</f>
        <v>N</v>
      </c>
      <c r="L48" t="str">
        <v>Y</v>
      </c>
    </row>
    <row r="49" spans="10:12" x14ac:dyDescent="0.3">
      <c r="J49" t="s">
        <v>310</v>
      </c>
      <c r="K49" t="str" cm="1">
        <f t="array" ref="K49:L49">_xlfn.XLOOKUP(J49,D:D,G:H)</f>
        <v>N</v>
      </c>
      <c r="L49" t="str">
        <v>Y</v>
      </c>
    </row>
    <row r="50" spans="10:12" x14ac:dyDescent="0.3">
      <c r="J50" t="s">
        <v>316</v>
      </c>
      <c r="K50" t="str" cm="1">
        <f t="array" ref="K50:L50">_xlfn.XLOOKUP(J50,D:D,G:H)</f>
        <v>N</v>
      </c>
      <c r="L50" t="str">
        <v>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Li</dc:creator>
  <cp:lastModifiedBy>Fred Li</cp:lastModifiedBy>
  <dcterms:created xsi:type="dcterms:W3CDTF">2026-05-07T09:10:12Z</dcterms:created>
  <dcterms:modified xsi:type="dcterms:W3CDTF">2026-05-17T15:30:49Z</dcterms:modified>
</cp:coreProperties>
</file>